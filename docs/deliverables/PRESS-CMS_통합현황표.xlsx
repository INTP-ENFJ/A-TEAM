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·범례" sheetId="1" state="visible" r:id="rId3"/>
    <sheet name="통합 현황표" sheetId="2" state="visible" r:id="rId4"/>
    <sheet name="작업지시서 매핑" sheetId="3" state="visible" r:id="rId5"/>
  </sheets>
  <definedNames>
    <definedName function="false" hidden="true" localSheetId="1" name="_xlnm._FilterDatabase" vbProcedure="false">'통합 현황표'!$A$1:$G$92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<sst xmlns="http://schemas.openxmlformats.org/spreadsheetml/2006/main" count="628" uniqueCount="414">
  <si>
    <r>
      <rPr>
        <b val="true"/>
        <sz val="14"/>
        <rFont val="Malgun Gothic"/>
        <family val="0"/>
        <charset val="1"/>
      </rPr>
      <t xml:space="preserve">PRESS-CMS </t>
    </r>
    <r>
      <rPr>
        <b val="true"/>
        <sz val="14"/>
        <rFont val="Noto Sans CJK SC"/>
        <family val="2"/>
      </rPr>
      <t xml:space="preserve">통합 현황표</t>
    </r>
  </si>
  <si>
    <t xml:space="preserve">기능 현황 + 작업지시서 요구사항 매핑 · 2026-10-16 기준 · 첨부표(42개 기능)에 이후 작업과 10-14 로컬 시험 결과를 반영</t>
  </si>
  <si>
    <t xml:space="preserve">상태</t>
  </si>
  <si>
    <t xml:space="preserve">개수</t>
  </si>
  <si>
    <t xml:space="preserve">뜻</t>
  </si>
  <si>
    <t xml:space="preserve">✅ 완료</t>
  </si>
  <si>
    <t xml:space="preserve">만들어졌고 동작을 확인함</t>
  </si>
  <si>
    <t xml:space="preserve">🟡 보완중</t>
  </si>
  <si>
    <t xml:space="preserve">일부 구현. 보완할 부분이 남음</t>
  </si>
  <si>
    <t xml:space="preserve">🟠 추가정립필요</t>
  </si>
  <si>
    <t xml:space="preserve">방향을 더 정해야 함</t>
  </si>
  <si>
    <t xml:space="preserve">🔴 복구/긴급필요</t>
  </si>
  <si>
    <t xml:space="preserve">고장났거나 복구가 급함</t>
  </si>
  <si>
    <t xml:space="preserve">🔵 구현예정</t>
  </si>
  <si>
    <t xml:space="preserve">앞으로 만들 예정</t>
  </si>
  <si>
    <t xml:space="preserve">🟢 강점</t>
  </si>
  <si>
    <t xml:space="preserve">프로그램 설계 자체의 강점(요구사항 전용)</t>
  </si>
  <si>
    <t xml:space="preserve">🧪 구현·시험전</t>
  </si>
  <si>
    <t xml:space="preserve">코드는 완성했지만 실제 계정·화면으로 시험하기 전. 시험 후 ✅로 변경</t>
  </si>
  <si>
    <t xml:space="preserve">⚪ 하지 않기로 함</t>
  </si>
  <si>
    <t xml:space="preserve">팀 결정으로 만들지 않기로 함</t>
  </si>
  <si>
    <t xml:space="preserve">합계</t>
  </si>
  <si>
    <t xml:space="preserve">통합 현황표 시트의 기능 수(구분 제목 줄 제외)</t>
  </si>
  <si>
    <t xml:space="preserve">2026-10-16 갱신으로 바뀐 것 (10-08 판 대비)</t>
  </si>
  <si>
    <r>
      <rPr>
        <sz val="10"/>
        <rFont val="Malgun Gothic"/>
        <family val="0"/>
        <charset val="1"/>
      </rPr>
      <t xml:space="preserve">• I-3 </t>
    </r>
    <r>
      <rPr>
        <sz val="10"/>
        <rFont val="Noto Sans CJK SC"/>
        <family val="2"/>
      </rPr>
      <t xml:space="preserve">웹크롤링</t>
    </r>
    <r>
      <rPr>
        <sz val="10"/>
        <rFont val="Malgun Gothic"/>
        <family val="0"/>
        <charset val="1"/>
      </rPr>
      <t xml:space="preserve">: 🧪 → ✅ (10-14 </t>
    </r>
    <r>
      <rPr>
        <sz val="10"/>
        <rFont val="Noto Sans CJK SC"/>
        <family val="2"/>
      </rPr>
      <t xml:space="preserve">로컬 시험 </t>
    </r>
    <r>
      <rPr>
        <sz val="10"/>
        <rFont val="Malgun Gothic"/>
        <family val="0"/>
        <charset val="1"/>
      </rPr>
      <t xml:space="preserve">T28~T30 </t>
    </r>
    <r>
      <rPr>
        <sz val="10"/>
        <rFont val="Noto Sans CJK SC"/>
        <family val="2"/>
      </rPr>
      <t xml:space="preserve">통과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</si>
  <si>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• I-1 STT: ✅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(10-14 </t>
    </r>
    <r>
      <rPr>
        <sz val="10"/>
        <rFont val="Noto Sans CJK SC"/>
        <family val="2"/>
      </rPr>
      <t xml:space="preserve">막힘 → </t>
    </r>
    <r>
      <rPr>
        <sz val="10"/>
        <rFont val="Malgun Gothic"/>
        <family val="0"/>
        <charset val="1"/>
      </rPr>
      <t xml:space="preserve">10-16 </t>
    </r>
    <r>
      <rPr>
        <sz val="10"/>
        <rFont val="Noto Sans CJK SC"/>
        <family val="2"/>
      </rPr>
      <t xml:space="preserve">재시험 통과</t>
    </r>
    <r>
      <rPr>
        <sz val="10"/>
        <rFont val="Malgun Gothic"/>
        <family val="0"/>
        <charset val="1"/>
      </rPr>
      <t xml:space="preserve">) / I-2 AI </t>
    </r>
    <r>
      <rPr>
        <sz val="10"/>
        <rFont val="Noto Sans CJK SC"/>
        <family val="2"/>
      </rPr>
      <t xml:space="preserve">이미지</t>
    </r>
    <r>
      <rPr>
        <sz val="10"/>
        <rFont val="Malgun Gothic"/>
        <family val="0"/>
        <charset val="1"/>
      </rPr>
      <t xml:space="preserve">: 🧪 </t>
    </r>
    <r>
      <rPr>
        <sz val="10"/>
        <rFont val="Noto Sans CJK SC"/>
        <family val="2"/>
      </rPr>
      <t xml:space="preserve">유지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결제 연결된 키가 없어 한도 초과로 거절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</si>
  <si>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• D-5·I-6·E</t>
    </r>
    <r>
      <rPr>
        <sz val="10"/>
        <rFont val="Noto Sans CJK SC"/>
        <family val="2"/>
      </rPr>
      <t xml:space="preserve">구역</t>
    </r>
    <r>
      <rPr>
        <sz val="10"/>
        <rFont val="Malgun Gothic"/>
        <family val="0"/>
        <charset val="1"/>
      </rPr>
      <t xml:space="preserve">(21~24)·G·H</t>
    </r>
    <r>
      <rPr>
        <sz val="10"/>
        <rFont val="Noto Sans CJK SC"/>
        <family val="2"/>
      </rPr>
      <t xml:space="preserve">구역 등 노션판에만 반영돼 있던 상태를 엑셀에도 맞춤</t>
    </r>
  </si>
  <si>
    <r>
      <rPr>
        <sz val="10"/>
        <rFont val="Malgun Gothic"/>
        <family val="0"/>
        <charset val="1"/>
      </rPr>
      <t xml:space="preserve">• 7·9</t>
    </r>
    <r>
      <rPr>
        <sz val="10"/>
        <rFont val="Noto Sans CJK SC"/>
        <family val="2"/>
      </rPr>
      <t xml:space="preserve">번 출고 대기 검토를 부장 이상만 보이게 변경</t>
    </r>
    <r>
      <rPr>
        <sz val="10"/>
        <rFont val="Malgun Gothic"/>
        <family val="0"/>
        <charset val="1"/>
      </rPr>
      <t xml:space="preserve">(10-12), 13·14·16·17</t>
    </r>
    <r>
      <rPr>
        <sz val="10"/>
        <rFont val="Noto Sans CJK SC"/>
        <family val="2"/>
      </rPr>
      <t xml:space="preserve">번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검수 지침 보강</t>
    </r>
    <r>
      <rPr>
        <sz val="10"/>
        <rFont val="Malgun Gothic"/>
        <family val="0"/>
        <charset val="1"/>
      </rPr>
      <t xml:space="preserve">(10-12, </t>
    </r>
    <r>
      <rPr>
        <sz val="10"/>
        <rFont val="Noto Sans CJK SC"/>
        <family val="2"/>
      </rPr>
      <t xml:space="preserve">재배포 후 시험 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</si>
  <si>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• K </t>
    </r>
    <r>
      <rPr>
        <sz val="10"/>
        <rFont val="Noto Sans CJK SC"/>
        <family val="2"/>
      </rPr>
      <t xml:space="preserve">구역 신규</t>
    </r>
    <r>
      <rPr>
        <sz val="10"/>
        <rFont val="Malgun Gothic"/>
        <family val="0"/>
        <charset val="1"/>
      </rPr>
      <t xml:space="preserve">(N-14~N-22): </t>
    </r>
    <r>
      <rPr>
        <sz val="10"/>
        <rFont val="Noto Sans CJK SC"/>
        <family val="2"/>
      </rPr>
      <t xml:space="preserve">임시 비밀번호 가입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승인 전 읽기 전용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비밀번호 변경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녹음 정리 탭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받아쓰기 모델 선택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인사부 메뉴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오류 문구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글씨색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배포</t>
    </r>
  </si>
  <si>
    <r>
      <rPr>
        <sz val="10"/>
        <rFont val="Noto Sans CJK SC"/>
        <family val="2"/>
      </rPr>
      <t xml:space="preserve">• 시험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통과 </t>
    </r>
    <r>
      <rPr>
        <sz val="10"/>
        <rFont val="Malgun Gothic"/>
        <family val="0"/>
        <charset val="1"/>
      </rPr>
      <t xml:space="preserve">41</t>
    </r>
    <r>
      <rPr>
        <sz val="10"/>
        <rFont val="Noto Sans CJK SC"/>
        <family val="2"/>
      </rPr>
      <t xml:space="preserve">건 </t>
    </r>
    <r>
      <rPr>
        <sz val="10"/>
        <rFont val="Malgun Gothic"/>
        <family val="0"/>
        <charset val="1"/>
      </rPr>
      <t xml:space="preserve">/ </t>
    </r>
    <r>
      <rPr>
        <sz val="10"/>
        <rFont val="Noto Sans CJK SC"/>
        <family val="2"/>
      </rPr>
      <t xml:space="preserve">실패 </t>
    </r>
    <r>
      <rPr>
        <sz val="10"/>
        <rFont val="Malgun Gothic"/>
        <family val="0"/>
        <charset val="1"/>
      </rPr>
      <t xml:space="preserve">T41(OpenAI </t>
    </r>
    <r>
      <rPr>
        <sz val="10"/>
        <rFont val="Noto Sans CJK SC"/>
        <family val="2"/>
      </rPr>
      <t xml:space="preserve">화자 구분 모델의 한국어 한계</t>
    </r>
    <r>
      <rPr>
        <sz val="10"/>
        <rFont val="Malgun Gothic"/>
        <family val="0"/>
        <charset val="1"/>
      </rPr>
      <t xml:space="preserve">) / </t>
    </r>
    <r>
      <rPr>
        <sz val="10"/>
        <rFont val="Noto Sans CJK SC"/>
        <family val="2"/>
      </rPr>
      <t xml:space="preserve">보류 </t>
    </r>
    <r>
      <rPr>
        <sz val="10"/>
        <rFont val="Malgun Gothic"/>
        <family val="0"/>
        <charset val="1"/>
      </rPr>
      <t xml:space="preserve">T20·T24·T42·T43·T46·T47</t>
    </r>
  </si>
  <si>
    <t xml:space="preserve">• 확인 필요 칸의 옛 문구("이번 작업 범위 아님", 상태·비고 불일치 등) 중 이미 해결된 것은 지움</t>
  </si>
  <si>
    <t xml:space="preserve">사용 방법</t>
  </si>
  <si>
    <r>
      <rPr>
        <sz val="10"/>
        <rFont val="Malgun Gothic"/>
        <family val="0"/>
        <charset val="1"/>
      </rPr>
      <t xml:space="preserve">1. [</t>
    </r>
    <r>
      <rPr>
        <sz val="10"/>
        <rFont val="Noto Sans CJK SC"/>
        <family val="2"/>
      </rPr>
      <t xml:space="preserve">통합 현황표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시트의 </t>
    </r>
    <r>
      <rPr>
        <sz val="10"/>
        <rFont val="Malgun Gothic"/>
        <family val="0"/>
        <charset val="1"/>
      </rPr>
      <t xml:space="preserve">E</t>
    </r>
    <r>
      <rPr>
        <sz val="10"/>
        <rFont val="Noto Sans CJK SC"/>
        <family val="2"/>
      </rPr>
      <t xml:space="preserve">열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현재 상태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목록에서 고릅니다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바꾸면 이 시트의 개수가 자동으로 바뀝니다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</si>
  <si>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2. </t>
    </r>
    <r>
      <rPr>
        <sz val="10"/>
        <rFont val="Noto Sans CJK SC"/>
        <family val="2"/>
      </rPr>
      <t xml:space="preserve">노란색 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확인 필요 사항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은 사람이 직접 확인해야 하는 내용입니다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확인 후 상태를 갱신해 주세요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</si>
  <si>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3. "🧪 </t>
    </r>
    <r>
      <rPr>
        <sz val="10"/>
        <rFont val="Noto Sans CJK SC"/>
        <family val="2"/>
      </rPr>
      <t xml:space="preserve">구현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시험전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은 첨부표의 범례에 없던 새 표시입니다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코드를 완성했지만 실제 서비스에서 시험하지 않았다는 뜻입니다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</si>
  <si>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4. [</t>
    </r>
    <r>
      <rPr>
        <sz val="10"/>
        <rFont val="Noto Sans CJK SC"/>
        <family val="2"/>
      </rPr>
      <t xml:space="preserve">작업지시서 매핑</t>
    </r>
    <r>
      <rPr>
        <sz val="10"/>
        <rFont val="Malgun Gothic"/>
        <family val="0"/>
        <charset val="1"/>
      </rPr>
      <t xml:space="preserve">] </t>
    </r>
    <r>
      <rPr>
        <sz val="10"/>
        <rFont val="Noto Sans CJK SC"/>
        <family val="2"/>
      </rPr>
      <t xml:space="preserve">시트는 동아일보 부트캠프 작업지시서의 필수 기능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핵심 기술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제약사항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산출물이 통합표의 어느 항목에 해당하는지 보여 줍니다</t>
    </r>
    <r>
      <rPr>
        <sz val="10"/>
        <rFont val="Malgun Gothic"/>
        <family val="0"/>
        <charset val="1"/>
      </rPr>
      <t xml:space="preserve">.</t>
    </r>
  </si>
  <si>
    <t xml:space="preserve">번호</t>
  </si>
  <si>
    <t xml:space="preserve">기능</t>
  </si>
  <si>
    <t xml:space="preserve">작업지시서 매핑</t>
  </si>
  <si>
    <t xml:space="preserve">첨부표 상태(이전)</t>
  </si>
  <si>
    <t xml:space="preserve">현재 상태</t>
  </si>
  <si>
    <t xml:space="preserve">현재 상황 / 비고</t>
  </si>
  <si>
    <t xml:space="preserve">확인 필요 사항</t>
  </si>
  <si>
    <r>
      <rPr>
        <b val="true"/>
        <sz val="10"/>
        <rFont val="Malgun Gothic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기사 작성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편집 코어</t>
    </r>
  </si>
  <si>
    <t xml:space="preserve">1</t>
  </si>
  <si>
    <t xml:space="preserve">기사 작성·편집</t>
  </si>
  <si>
    <t xml:space="preserve">✅</t>
  </si>
  <si>
    <t xml:space="preserve">제목·부제목·본문 작성·저장</t>
  </si>
  <si>
    <t xml:space="preserve">2</t>
  </si>
  <si>
    <t xml:space="preserve">연속형 본문 편집기</t>
  </si>
  <si>
    <t xml:space="preserve">🟡</t>
  </si>
  <si>
    <t xml:space="preserve">화면 확인(2026-10-08): 제목·부제목·분류·본문이 한 장의 흰 문서 안에 이어서 보임</t>
  </si>
  <si>
    <t xml:space="preserve">3</t>
  </si>
  <si>
    <t xml:space="preserve">본문 미디어 삽입</t>
  </si>
  <si>
    <t xml:space="preserve">이미지 캡션·크레딧·자르기, 본문 사이 끌어놓기 삽입이 코드에 있음</t>
  </si>
  <si>
    <t xml:space="preserve">사진이 들어간 기사로 한 번 눈으로 확인 권장.</t>
  </si>
  <si>
    <t xml:space="preserve">4</t>
  </si>
  <si>
    <t xml:space="preserve">미디어 드래그 앤 드롭</t>
  </si>
  <si>
    <t xml:space="preserve">🔴</t>
  </si>
  <si>
    <t xml:space="preserve">사진을 끌어다 놓는 처리(드래그 앤 드롭)가 코드에 다시 들어 있음 (BodyEditor)</t>
  </si>
  <si>
    <t xml:space="preserve">화면에서 직접 끌어 놓아 보는 시험은 아직 안 했습니다.</t>
  </si>
  <si>
    <t xml:space="preserve">5</t>
  </si>
  <si>
    <t xml:space="preserve">기사 자동저장</t>
  </si>
  <si>
    <r>
      <rPr>
        <sz val="10"/>
        <rFont val="Malgun Gothic"/>
        <family val="0"/>
        <charset val="1"/>
      </rPr>
      <t xml:space="preserve">article_blocks </t>
    </r>
    <r>
      <rPr>
        <sz val="10"/>
        <rFont val="Noto Sans CJK SC"/>
        <family val="2"/>
      </rPr>
      <t xml:space="preserve">기반</t>
    </r>
  </si>
  <si>
    <r>
      <rPr>
        <b val="true"/>
        <sz val="10"/>
        <rFont val="Malgun Gothic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워크플로우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출고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권한</t>
    </r>
  </si>
  <si>
    <t xml:space="preserve">6</t>
  </si>
  <si>
    <t xml:space="preserve">기사 상태 관리</t>
  </si>
  <si>
    <r>
      <rPr>
        <sz val="10"/>
        <rFont val="Malgun Gothic"/>
        <family val="0"/>
        <charset val="1"/>
      </rPr>
      <t xml:space="preserve">🔴(</t>
    </r>
    <r>
      <rPr>
        <sz val="10"/>
        <rFont val="Noto Sans CJK SC"/>
        <family val="2"/>
      </rPr>
      <t xml:space="preserve">오류발생</t>
    </r>
    <r>
      <rPr>
        <sz val="10"/>
        <rFont val="Malgun Gothic"/>
        <family val="0"/>
        <charset val="1"/>
      </rPr>
      <t xml:space="preserve">)</t>
    </r>
  </si>
  <si>
    <t xml:space="preserve">검토 요청 · 수정 요청 · 승인 · 출고 단계가 서버 기능으로 모두 있고, 편집기에서 상태를 바꿀 수 있음. 해결되었다는 보고 반영</t>
  </si>
  <si>
    <t xml:space="preserve">"오류발생" 원인은 표에 적혀 있지 않아, 해결 여부는 화면 시험으로 한 번 더 확인 권장.</t>
  </si>
  <si>
    <t xml:space="preserve">7</t>
  </si>
  <si>
    <t xml:space="preserve">출고대기 자동 노출</t>
  </si>
  <si>
    <r>
      <rPr>
        <sz val="10"/>
        <rFont val="Noto Sans CJK SC"/>
        <family val="2"/>
      </rPr>
      <t xml:space="preserve">출고 대기 기사는 공유 설정과 무관하게 부장 이상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부장 직급 또는 편집국장 역할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의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출고 대기 검토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에만 표시</t>
    </r>
    <r>
      <rPr>
        <sz val="10"/>
        <rFont val="Malgun Gothic"/>
        <family val="0"/>
        <charset val="1"/>
      </rPr>
      <t xml:space="preserve">(10-12 </t>
    </r>
    <r>
      <rPr>
        <sz val="10"/>
        <rFont val="Noto Sans CJK SC"/>
        <family val="2"/>
      </rPr>
      <t xml:space="preserve">팀 결정으로 범위를 좁힘</t>
    </r>
    <r>
      <rPr>
        <sz val="10"/>
        <rFont val="Malgun Gothic"/>
        <family val="0"/>
        <charset val="1"/>
      </rPr>
      <t xml:space="preserve">)</t>
    </r>
  </si>
  <si>
    <t xml:space="preserve">10-16 사용자가 차장 계정으로 "출고 대기 검토"가 보이지 않음을 확인. 제한은 화면 목록 기준(서버 규칙은 그대로).</t>
  </si>
  <si>
    <t xml:space="preserve">8</t>
  </si>
  <si>
    <t xml:space="preserve">기사 공유 범위 설정</t>
  </si>
  <si>
    <t xml:space="preserve">미공개/같은 부서/전체</t>
  </si>
  <si>
    <t xml:space="preserve">9</t>
  </si>
  <si>
    <t xml:space="preserve">공유와 출고검토 분리</t>
  </si>
  <si>
    <t xml:space="preserve">미공개라도 출고 대기면 부장 이상이 검토 가능</t>
  </si>
  <si>
    <t xml:space="preserve">10</t>
  </si>
  <si>
    <t xml:space="preserve">부서 기반 데스크 검토</t>
  </si>
  <si>
    <r>
      <rPr>
        <sz val="10"/>
        <rFont val="Malgun Gothic"/>
        <family val="0"/>
        <charset val="1"/>
      </rPr>
      <t xml:space="preserve">🟡(↑</t>
    </r>
    <r>
      <rPr>
        <sz val="10"/>
        <rFont val="Noto Sans CJK SC"/>
        <family val="2"/>
      </rPr>
      <t xml:space="preserve">개선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</si>
  <si>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서버가 같은 부서 데스크만 수정요청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승인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배정을 허용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규칙을 문서로 정리함 </t>
    </r>
    <r>
      <rPr>
        <sz val="10"/>
        <rFont val="Malgun Gothic"/>
        <family val="0"/>
        <charset val="1"/>
      </rPr>
      <t xml:space="preserve">(docs/</t>
    </r>
    <r>
      <rPr>
        <sz val="10"/>
        <rFont val="Noto Sans CJK SC"/>
        <family val="2"/>
      </rPr>
      <t xml:space="preserve">부서별</t>
    </r>
    <r>
      <rPr>
        <sz val="10"/>
        <rFont val="Malgun Gothic"/>
        <family val="0"/>
        <charset val="1"/>
      </rPr>
      <t xml:space="preserve">_</t>
    </r>
    <r>
      <rPr>
        <sz val="10"/>
        <rFont val="Noto Sans CJK SC"/>
        <family val="2"/>
      </rPr>
      <t xml:space="preserve">권한</t>
    </r>
    <r>
      <rPr>
        <sz val="10"/>
        <rFont val="Malgun Gothic"/>
        <family val="0"/>
        <charset val="1"/>
      </rPr>
      <t xml:space="preserve">_</t>
    </r>
    <r>
      <rPr>
        <sz val="10"/>
        <rFont val="Noto Sans CJK SC"/>
        <family val="2"/>
      </rPr>
      <t xml:space="preserve">정책</t>
    </r>
    <r>
      <rPr>
        <sz val="10"/>
        <rFont val="Malgun Gothic"/>
        <family val="0"/>
        <charset val="1"/>
      </rPr>
      <t xml:space="preserve">.md)</t>
    </r>
  </si>
  <si>
    <t xml:space="preserve">다른 부서 대리 승인, 차장 최종 출고, 편집국장 전체 열람 여부는 팀이 정해야 함. 출고 대기 검토는 10-12부터 부장 이상만 보임(7번).</t>
  </si>
  <si>
    <t xml:space="preserve">26</t>
  </si>
  <si>
    <t xml:space="preserve">사용자·직급별 권한</t>
  </si>
  <si>
    <t xml:space="preserve">수습·평기자·차장·부장 구조</t>
  </si>
  <si>
    <t xml:space="preserve">27</t>
  </si>
  <si>
    <t xml:space="preserve">최종 출고 권한</t>
  </si>
  <si>
    <t xml:space="preserve">부장 권한 기준</t>
  </si>
  <si>
    <r>
      <rPr>
        <b val="true"/>
        <sz val="10"/>
        <rFont val="Malgun Gothic"/>
        <family val="0"/>
        <charset val="1"/>
      </rPr>
      <t xml:space="preserve">C. AI </t>
    </r>
    <r>
      <rPr>
        <b val="true"/>
        <sz val="10"/>
        <rFont val="Noto Sans CJK SC"/>
        <family val="2"/>
      </rPr>
      <t xml:space="preserve">검수</t>
    </r>
    <r>
      <rPr>
        <b val="true"/>
        <sz val="10"/>
        <rFont val="Malgun Gothic"/>
        <family val="0"/>
        <charset val="1"/>
      </rPr>
      <t xml:space="preserve">(Review) — </t>
    </r>
    <r>
      <rPr>
        <b val="true"/>
        <sz val="10"/>
        <rFont val="Noto Sans CJK SC"/>
        <family val="2"/>
      </rPr>
      <t xml:space="preserve">기존 구현</t>
    </r>
  </si>
  <si>
    <t xml:space="preserve">13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</si>
  <si>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기사 검수</t>
    </r>
  </si>
  <si>
    <r>
      <rPr>
        <sz val="10"/>
        <rFont val="Malgun Gothic"/>
        <family val="0"/>
        <charset val="1"/>
      </rPr>
      <t xml:space="preserve">review-article-content. </t>
    </r>
    <r>
      <rPr>
        <sz val="10"/>
        <rFont val="Noto Sans CJK SC"/>
        <family val="2"/>
      </rPr>
      <t xml:space="preserve">이제 </t>
    </r>
    <r>
      <rPr>
        <sz val="10"/>
        <rFont val="Malgun Gothic"/>
        <family val="0"/>
        <charset val="1"/>
      </rPr>
      <t xml:space="preserve">Gemini</t>
    </r>
    <r>
      <rPr>
        <sz val="10"/>
        <rFont val="Noto Sans CJK SC"/>
        <family val="2"/>
      </rPr>
      <t xml:space="preserve">뿐 아니라 </t>
    </r>
    <r>
      <rPr>
        <sz val="10"/>
        <rFont val="Malgun Gothic"/>
        <family val="0"/>
        <charset val="1"/>
      </rPr>
      <t xml:space="preserve">OpenAI·Claude·</t>
    </r>
    <r>
      <rPr>
        <sz val="10"/>
        <rFont val="Noto Sans CJK SC"/>
        <family val="2"/>
      </rPr>
      <t xml:space="preserve">사내 </t>
    </r>
    <r>
      <rPr>
        <sz val="10"/>
        <rFont val="Malgun Gothic"/>
        <family val="0"/>
        <charset val="1"/>
      </rPr>
      <t xml:space="preserve">API </t>
    </r>
    <r>
      <rPr>
        <sz val="10"/>
        <rFont val="Noto Sans CJK SC"/>
        <family val="2"/>
      </rPr>
      <t xml:space="preserve">중 내가 고른 </t>
    </r>
    <r>
      <rPr>
        <sz val="10"/>
        <rFont val="Malgun Gothic"/>
        <family val="0"/>
        <charset val="1"/>
      </rPr>
      <t xml:space="preserve">AI</t>
    </r>
    <r>
      <rPr>
        <sz val="10"/>
        <rFont val="Noto Sans CJK SC"/>
        <family val="2"/>
      </rPr>
      <t xml:space="preserve">로 동작 </t>
    </r>
    <r>
      <rPr>
        <sz val="10"/>
        <rFont val="Malgun Gothic"/>
        <family val="0"/>
        <charset val="1"/>
      </rPr>
      <t xml:space="preserve">10-12 </t>
    </r>
    <r>
      <rPr>
        <sz val="10"/>
        <rFont val="Noto Sans CJK SC"/>
        <family val="2"/>
      </rPr>
      <t xml:space="preserve">검수 지침 보강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주어 누락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제목에만 있는 내용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영문 표기 한글 우선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해외 대학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기관 앞 국가명</t>
    </r>
    <r>
      <rPr>
        <sz val="10"/>
        <rFont val="Malgun Gothic"/>
        <family val="0"/>
        <charset val="1"/>
      </rPr>
      <t xml:space="preserve">.</t>
    </r>
  </si>
  <si>
    <t xml:space="preserve">보강분은 서버 함수 재배포 후 예문 시험 전. 공급자별 실사용도 시험 전(Gemini는 사용 확인됨).</t>
  </si>
  <si>
    <t xml:space="preserve">14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</si>
  <si>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비문 검수</t>
    </r>
  </si>
  <si>
    <t xml:space="preserve">주술호응·성분누락·조사·시제 등 (10-12 주어 누락 지적 보강)</t>
  </si>
  <si>
    <t xml:space="preserve">15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</si>
  <si>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검수 상세 설명</t>
    </r>
  </si>
  <si>
    <t xml:space="preserve">원문·유형·이유·확인사항·수정예시</t>
  </si>
  <si>
    <t xml:space="preserve">16</t>
  </si>
  <si>
    <t xml:space="preserve">제목-본문 정합성 검사</t>
  </si>
  <si>
    <t xml:space="preserve">인물·기관·수치·주장 불일치 검수 (10-12 제목에만 있는 내용 지적 보강)</t>
  </si>
  <si>
    <t xml:space="preserve">17</t>
  </si>
  <si>
    <t xml:space="preserve">기사 표기법 검수</t>
  </si>
  <si>
    <t xml:space="preserve">외래어·숫자·날짜·단위 등 (10-12 영문 표기 한글 우선·해외 기관 앞 국가명 규칙 추가)</t>
  </si>
  <si>
    <t xml:space="preserve">18</t>
  </si>
  <si>
    <r>
      <rPr>
        <sz val="10"/>
        <rFont val="Malgun Gothic"/>
        <family val="0"/>
        <charset val="1"/>
      </rPr>
      <t xml:space="preserve">PRESS-CMS </t>
    </r>
    <r>
      <rPr>
        <sz val="10"/>
        <rFont val="Noto Sans CJK SC"/>
        <family val="2"/>
      </rPr>
      <t xml:space="preserve">기사 가이드</t>
    </r>
  </si>
  <si>
    <t xml:space="preserve">별도 문서 완비(표기 가이드 v1.1: 10-12 해외 대학·기관 앞 국가명 항목 추가)</t>
  </si>
  <si>
    <t xml:space="preserve">20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</si>
  <si>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원문 자동수정 방지</t>
    </r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</si>
  <si>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임의 원문 변경 금지 원칙 유지</t>
    </r>
  </si>
  <si>
    <r>
      <rPr>
        <b val="true"/>
        <sz val="10"/>
        <rFont val="Malgun Gothic"/>
        <family val="0"/>
        <charset val="1"/>
      </rPr>
      <t xml:space="preserve">D. AI </t>
    </r>
    <r>
      <rPr>
        <b val="true"/>
        <sz val="10"/>
        <rFont val="Noto Sans CJK SC"/>
        <family val="2"/>
      </rPr>
      <t xml:space="preserve">초안 생성 — 작업지시서 대응</t>
    </r>
  </si>
  <si>
    <t xml:space="preserve">D-1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</si>
  <si>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기사 초안 작성</t>
    </r>
  </si>
  <si>
    <t xml:space="preserve">작업지시서 ①</t>
  </si>
  <si>
    <t xml:space="preserve">질문형 인터뷰(AI Interview Draft): ai-interview-draft + AiInterviewDraftPanel</t>
  </si>
  <si>
    <t xml:space="preserve">D-2</t>
  </si>
  <si>
    <t xml:space="preserve">로우데이터 요약·정리</t>
  </si>
  <si>
    <t xml:space="preserve">작업지시서 ②</t>
  </si>
  <si>
    <t xml:space="preserve">취재메모/보도자료 → 5W1H·인용구·수치 구조화. 이번에 TXT·CSV·MD 파일 불러오기, 정리 전으로 되돌리기, 원자료에 없는 발언·숫자 걸러내기 추가</t>
  </si>
  <si>
    <r>
      <rPr>
        <sz val="10"/>
        <rFont val="Malgun Gothic"/>
        <family val="0"/>
        <charset val="1"/>
      </rPr>
      <t xml:space="preserve">10-16 </t>
    </r>
    <r>
      <rPr>
        <sz val="10"/>
        <rFont val="Noto Sans CJK SC"/>
        <family val="2"/>
      </rPr>
      <t xml:space="preserve">로컬 시험 </t>
    </r>
    <r>
      <rPr>
        <sz val="10"/>
        <rFont val="Malgun Gothic"/>
        <family val="0"/>
        <charset val="1"/>
      </rPr>
      <t xml:space="preserve">T07~T15 </t>
    </r>
    <r>
      <rPr>
        <sz val="10"/>
        <rFont val="Noto Sans CJK SC"/>
        <family val="2"/>
      </rPr>
      <t xml:space="preserve">모두 통과</t>
    </r>
    <r>
      <rPr>
        <sz val="10"/>
        <rFont val="Malgun Gothic"/>
        <family val="0"/>
        <charset val="1"/>
      </rPr>
      <t xml:space="preserve">(gemini-3.5-flash-lite): </t>
    </r>
    <r>
      <rPr>
        <sz val="10"/>
        <rFont val="Noto Sans CJK SC"/>
        <family val="2"/>
      </rPr>
      <t xml:space="preserve">숫자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발언 원문 그대로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문서 속 지시문 무시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엇갈린 숫자 확인 필요로 분리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한글 엑셀 </t>
    </r>
    <r>
      <rPr>
        <sz val="10"/>
        <rFont val="Malgun Gothic"/>
        <family val="0"/>
        <charset val="1"/>
      </rPr>
      <t xml:space="preserve">CSV </t>
    </r>
    <r>
      <rPr>
        <sz val="10"/>
        <rFont val="Noto Sans CJK SC"/>
        <family val="2"/>
      </rPr>
      <t xml:space="preserve">읽기</t>
    </r>
    <r>
      <rPr>
        <sz val="10"/>
        <rFont val="Malgun Gothic"/>
        <family val="0"/>
        <charset val="1"/>
      </rPr>
      <t xml:space="preserve">, 3</t>
    </r>
    <r>
      <rPr>
        <sz val="10"/>
        <rFont val="Noto Sans CJK SC"/>
        <family val="2"/>
      </rPr>
      <t xml:space="preserve">만 자 초과 안내</t>
    </r>
    <r>
      <rPr>
        <sz val="10"/>
        <rFont val="Malgun Gothic"/>
        <family val="0"/>
        <charset val="1"/>
      </rPr>
      <t xml:space="preserve">.</t>
    </r>
  </si>
  <si>
    <t xml:space="preserve">D-3</t>
  </si>
  <si>
    <t xml:space="preserve">대화형(Chat) 프롬프트</t>
  </si>
  <si>
    <t xml:space="preserve">작업지시서 ③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</si>
  <si>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질문</t>
    </r>
    <r>
      <rPr>
        <sz val="10"/>
        <rFont val="Malgun Gothic"/>
        <family val="0"/>
        <charset val="1"/>
      </rPr>
      <t xml:space="preserve">-</t>
    </r>
    <r>
      <rPr>
        <sz val="10"/>
        <rFont val="Noto Sans CJK SC"/>
        <family val="2"/>
      </rPr>
      <t xml:space="preserve">기자 답변 채팅 </t>
    </r>
    <r>
      <rPr>
        <sz val="10"/>
        <rFont val="Malgun Gothic"/>
        <family val="0"/>
        <charset val="1"/>
      </rPr>
      <t xml:space="preserve">UI</t>
    </r>
  </si>
  <si>
    <t xml:space="preserve">D-4</t>
  </si>
  <si>
    <t xml:space="preserve">피드백→재생성 루프</t>
  </si>
  <si>
    <t xml:space="preserve">작업지시서 ④</t>
  </si>
  <si>
    <r>
      <rPr>
        <sz val="10"/>
        <rFont val="Malgun Gothic"/>
        <family val="0"/>
        <charset val="1"/>
      </rPr>
      <t xml:space="preserve">regenerate_section </t>
    </r>
    <r>
      <rPr>
        <sz val="10"/>
        <rFont val="Noto Sans CJK SC"/>
        <family val="2"/>
      </rPr>
      <t xml:space="preserve">모드로 섹션별 재작성 </t>
    </r>
    <r>
      <rPr>
        <sz val="10"/>
        <rFont val="Malgun Gothic"/>
        <family val="0"/>
        <charset val="1"/>
      </rPr>
      <t xml:space="preserve">+ </t>
    </r>
    <r>
      <rPr>
        <sz val="10"/>
        <rFont val="Noto Sans CJK SC"/>
        <family val="2"/>
      </rPr>
      <t xml:space="preserve">전체 수정 지시</t>
    </r>
  </si>
  <si>
    <t xml:space="preserve">T16~T19·T21 통과. T19는 10-16 문단 순서가 바뀌는 오류를 고친 뒤 재시험 통과(고른 문단만 바뀌고 리드·다른 문단 그대로). 별점·점수 기록은 만들지 않기로 결정(N-10).</t>
  </si>
  <si>
    <t xml:space="preserve">19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</si>
  <si>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제목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개 추천</t>
    </r>
  </si>
  <si>
    <r>
      <rPr>
        <sz val="10"/>
        <rFont val="Malgun Gothic"/>
        <family val="0"/>
        <charset val="1"/>
      </rPr>
      <t xml:space="preserve">✅(</t>
    </r>
    <r>
      <rPr>
        <sz val="10"/>
        <rFont val="Noto Sans CJK SC"/>
        <family val="2"/>
      </rPr>
      <t xml:space="preserve">통합</t>
    </r>
    <r>
      <rPr>
        <sz val="10"/>
        <rFont val="Malgun Gothic"/>
        <family val="0"/>
        <charset val="1"/>
      </rPr>
      <t xml:space="preserve">)</t>
    </r>
  </si>
  <si>
    <t xml:space="preserve">독립 기능 대신 인터뷰 finalize 결과에 제목 후보 2~3개로 통합 구현 (통합 구현)</t>
  </si>
  <si>
    <t xml:space="preserve">D-5</t>
  </si>
  <si>
    <t xml:space="preserve">톤·스타일·키워드 기반 작성</t>
  </si>
  <si>
    <t xml:space="preserve">작업지시서 핵심기술(프롬프트)</t>
  </si>
  <si>
    <t xml:space="preserve">기사 어조 선택(스트레이트/해설·분석/인터뷰/피처)이 화면에 있고 서버가 어조별 지시문을 적용함</t>
  </si>
  <si>
    <r>
      <rPr>
        <sz val="10"/>
        <rFont val="Malgun Gothic"/>
        <family val="0"/>
        <charset val="1"/>
      </rPr>
      <t xml:space="preserve">10-16 T03 </t>
    </r>
    <r>
      <rPr>
        <sz val="10"/>
        <rFont val="Noto Sans CJK SC"/>
        <family val="2"/>
      </rPr>
      <t xml:space="preserve">통과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해설 톤</t>
    </r>
    <r>
      <rPr>
        <sz val="10"/>
        <rFont val="Malgun Gothic"/>
        <family val="0"/>
        <charset val="1"/>
      </rPr>
      <t xml:space="preserve">: </t>
    </r>
    <r>
      <rPr>
        <sz val="10"/>
        <rFont val="Noto Sans CJK SC"/>
        <family val="2"/>
      </rPr>
      <t xml:space="preserve">배경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맥락이 늘고 사실 동일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인터뷰 톤으로 다시 만들기는 화면 변화가 확인되지 않음</t>
    </r>
    <r>
      <rPr>
        <sz val="10"/>
        <rFont val="Malgun Gothic"/>
        <family val="0"/>
        <charset val="1"/>
      </rPr>
      <t xml:space="preserve">.</t>
    </r>
  </si>
  <si>
    <t xml:space="preserve">D-6</t>
  </si>
  <si>
    <t xml:space="preserve">본문 반영 안전성</t>
  </si>
  <si>
    <t xml:space="preserve">AI 초안 [본문 삽입]은 편집기에 직접 넣고 바로 저장(10-14 본문에 안 들어가던 오류 수정, 로컬 확인). 직접 INSERT 미사용</t>
  </si>
  <si>
    <t xml:space="preserve">D-7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</si>
  <si>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모델 라우팅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번째 슬롯</t>
    </r>
  </si>
  <si>
    <r>
      <rPr>
        <sz val="10"/>
        <rFont val="Malgun Gothic"/>
        <family val="0"/>
        <charset val="1"/>
      </rPr>
      <t xml:space="preserve">ai_system_settings.article_generation_model(</t>
    </r>
    <r>
      <rPr>
        <sz val="10"/>
        <rFont val="Noto Sans CJK SC"/>
        <family val="2"/>
      </rPr>
      <t xml:space="preserve">팀 기본값</t>
    </r>
    <r>
      <rPr>
        <sz val="10"/>
        <rFont val="Malgun Gothic"/>
        <family val="0"/>
        <charset val="1"/>
      </rPr>
      <t xml:space="preserve">). 10-16</t>
    </r>
    <r>
      <rPr>
        <sz val="10"/>
        <rFont val="Noto Sans CJK SC"/>
        <family val="2"/>
      </rPr>
      <t xml:space="preserve">부터 실제 호출은 사람마다 저장한 기능별 </t>
    </r>
    <r>
      <rPr>
        <sz val="10"/>
        <rFont val="Malgun Gothic"/>
        <family val="0"/>
        <charset val="1"/>
      </rPr>
      <t xml:space="preserve">AI(N-23)</t>
    </r>
    <r>
      <rPr>
        <sz val="10"/>
        <rFont val="Noto Sans CJK SC"/>
        <family val="2"/>
      </rPr>
      <t xml:space="preserve">를 따름</t>
    </r>
  </si>
  <si>
    <t xml:space="preserve">SQL 20261014100000 실행 완료.</t>
  </si>
  <si>
    <r>
      <rPr>
        <b val="true"/>
        <sz val="10"/>
        <rFont val="Malgun Gothic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협업 피드백</t>
    </r>
  </si>
  <si>
    <t xml:space="preserve">21</t>
  </si>
  <si>
    <t xml:space="preserve">드래그형 기사 피드백</t>
  </si>
  <si>
    <t xml:space="preserve">본문 글자를 드래그해 선택하면 피드백 입력창이 열리고 선택한 문장이 함께 저장됨 (코드 확인)</t>
  </si>
  <si>
    <t xml:space="preserve">22</t>
  </si>
  <si>
    <t xml:space="preserve">피드백 형광펜 표시</t>
  </si>
  <si>
    <t xml:space="preserve">피드백이 달린 문장을 형광펜으로 표시 (feedbackHighlight)</t>
  </si>
  <si>
    <t xml:space="preserve">23</t>
  </si>
  <si>
    <t xml:space="preserve">피드백 위치 바로가기</t>
  </si>
  <si>
    <t xml:space="preserve">피드백을 누르면 본문의 해당 위치로 부드럽게 이동. 위치를 못 찾으면 "원문 위치를 찾을 수 없음" 표시</t>
  </si>
  <si>
    <t xml:space="preserve">24</t>
  </si>
  <si>
    <t xml:space="preserve">피드백 위치 복구</t>
  </si>
  <si>
    <t xml:space="preserve">🔵</t>
  </si>
  <si>
    <r>
      <rPr>
        <sz val="10"/>
        <rFont val="Noto Sans CJK SC"/>
        <family val="2"/>
      </rPr>
      <t xml:space="preserve">본문이 조금 바뀌어도 앞뒤 문맥과 선택 문장으로 위치를 다시 찾는 </t>
    </r>
    <r>
      <rPr>
        <sz val="10"/>
        <rFont val="Malgun Gothic"/>
        <family val="0"/>
        <charset val="1"/>
      </rPr>
      <t xml:space="preserve">3</t>
    </r>
    <r>
      <rPr>
        <sz val="10"/>
        <rFont val="Noto Sans CJK SC"/>
        <family val="2"/>
      </rPr>
      <t xml:space="preserve">단계 복구가 들어 있음 </t>
    </r>
    <r>
      <rPr>
        <sz val="10"/>
        <rFont val="Malgun Gothic"/>
        <family val="0"/>
        <charset val="1"/>
      </rPr>
      <t xml:space="preserve">(DB</t>
    </r>
    <r>
      <rPr>
        <sz val="10"/>
        <rFont val="Noto Sans CJK SC"/>
        <family val="2"/>
      </rPr>
      <t xml:space="preserve">에도 문맥 칸 추가</t>
    </r>
    <r>
      <rPr>
        <sz val="10"/>
        <rFont val="Malgun Gothic"/>
        <family val="0"/>
        <charset val="1"/>
      </rPr>
      <t xml:space="preserve">)</t>
    </r>
  </si>
  <si>
    <t xml:space="preserve">본문을 크게 고친 뒤 실제로 위치가 따라오는지는 시험 전.</t>
  </si>
  <si>
    <r>
      <rPr>
        <b val="true"/>
        <sz val="10"/>
        <rFont val="Malgun Gothic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이력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분류</t>
    </r>
  </si>
  <si>
    <t xml:space="preserve">11</t>
  </si>
  <si>
    <t xml:space="preserve">기사 분류</t>
  </si>
  <si>
    <t xml:space="preserve">정치·경제·사회 등</t>
  </si>
  <si>
    <t xml:space="preserve">12</t>
  </si>
  <si>
    <t xml:space="preserve">해시태그</t>
  </si>
  <si>
    <t xml:space="preserve">추가·삭제 UI</t>
  </si>
  <si>
    <t xml:space="preserve">25</t>
  </si>
  <si>
    <t xml:space="preserve">기사 이력 관리</t>
  </si>
  <si>
    <r>
      <rPr>
        <sz val="10"/>
        <rFont val="Malgun Gothic"/>
        <family val="0"/>
        <charset val="1"/>
      </rPr>
      <t xml:space="preserve">History </t>
    </r>
    <r>
      <rPr>
        <sz val="10"/>
        <rFont val="Noto Sans CJK SC"/>
        <family val="2"/>
      </rPr>
      <t xml:space="preserve">영역</t>
    </r>
  </si>
  <si>
    <r>
      <rPr>
        <b val="true"/>
        <sz val="10"/>
        <rFont val="Malgun Gothic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조직</t>
    </r>
    <r>
      <rPr>
        <b val="true"/>
        <sz val="10"/>
        <rFont val="Malgun Gothic"/>
        <family val="0"/>
        <charset val="1"/>
      </rPr>
      <t xml:space="preserve">/HR</t>
    </r>
  </si>
  <si>
    <t xml:space="preserve">28</t>
  </si>
  <si>
    <r>
      <rPr>
        <sz val="10"/>
        <rFont val="Malgun Gothic"/>
        <family val="0"/>
        <charset val="1"/>
      </rPr>
      <t xml:space="preserve">HR </t>
    </r>
    <r>
      <rPr>
        <sz val="10"/>
        <rFont val="Noto Sans CJK SC"/>
        <family val="2"/>
      </rPr>
      <t xml:space="preserve">프로필 설정 복구</t>
    </r>
  </si>
  <si>
    <t xml:space="preserve">인사 담당자는 환경설정에서 AI·미디어 메뉴를 빼고 내 프로필만 보이게 정리. 라벨도 인사 관리자용으로 변경</t>
  </si>
  <si>
    <t xml:space="preserve">HR 계정으로 로그인해 확인 필요. 10-14 인사부 전용 왼쪽 메뉴와 사용법 안내 버튼 추가(N-19).</t>
  </si>
  <si>
    <t xml:space="preserve">29</t>
  </si>
  <si>
    <r>
      <rPr>
        <sz val="10"/>
        <rFont val="Malgun Gothic"/>
        <family val="0"/>
        <charset val="1"/>
      </rPr>
      <t xml:space="preserve">HR </t>
    </r>
    <r>
      <rPr>
        <sz val="10"/>
        <rFont val="Noto Sans CJK SC"/>
        <family val="2"/>
      </rPr>
      <t xml:space="preserve">직원 명부</t>
    </r>
  </si>
  <si>
    <t xml:space="preserve">보안 RPC 구현 완료</t>
  </si>
  <si>
    <t xml:space="preserve">30</t>
  </si>
  <si>
    <r>
      <rPr>
        <sz val="10"/>
        <rFont val="Malgun Gothic"/>
        <family val="0"/>
        <charset val="1"/>
      </rPr>
      <t xml:space="preserve">HR </t>
    </r>
    <r>
      <rPr>
        <sz val="10"/>
        <rFont val="Noto Sans CJK SC"/>
        <family val="2"/>
      </rPr>
      <t xml:space="preserve">직원정보 수정</t>
    </r>
  </si>
  <si>
    <t xml:space="preserve">직원 명부의 [수정] 버튼: 부서·직책·직급·시스템 역할을 바꿈 (본인 계정은 제외). 바꾸면 변경 기록에 남고 본인에게 알림</t>
  </si>
  <si>
    <t xml:space="preserve">10-16 사용자가 인사부 계정으로 동작 확인.</t>
  </si>
  <si>
    <t xml:space="preserve">31</t>
  </si>
  <si>
    <t xml:space="preserve">직원 계정 비활성화</t>
  </si>
  <si>
    <t xml:space="preserve">직원 명부의 [비활성화]/[다시 사용] 버튼: 로그인 차단 + 접속 중인 세션 종료. 기사·기록은 그대로 보존. 로그인 화면에 "비활성화된 계정입니다" 안내</t>
  </si>
  <si>
    <t xml:space="preserve">10-16 사용자가 인사부 계정으로 동작 확인. 이미 열린 화면은 최대 1시간 안에 끊길 수 있음.</t>
  </si>
  <si>
    <t xml:space="preserve">32</t>
  </si>
  <si>
    <t xml:space="preserve">회원가입 승인 관리</t>
  </si>
  <si>
    <t xml:space="preserve">가입 신청 즉시 승인 대기 계정 생성 + 임시 비밀번호(한 번만 표시). 인사부 승인 시 부서·직책·직급·역할 반영, 반려 시 사용 중지(10-12 변경, N-14·N-15)</t>
  </si>
  <si>
    <t xml:space="preserve">10-16 사용자가 새 가입 신청 흐름을 확인.</t>
  </si>
  <si>
    <r>
      <rPr>
        <b val="true"/>
        <sz val="10"/>
        <rFont val="Malgun Gothic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알림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감사</t>
    </r>
  </si>
  <si>
    <t xml:space="preserve">33</t>
  </si>
  <si>
    <t xml:space="preserve">통합 알림센터</t>
  </si>
  <si>
    <t xml:space="preserve">상단 🔔 알림센터 구현. 모든 화면에서 열람, 읽음·모두 읽음 처리</t>
  </si>
  <si>
    <t xml:space="preserve">34</t>
  </si>
  <si>
    <r>
      <rPr>
        <sz val="10"/>
        <rFont val="Malgun Gothic"/>
        <family val="0"/>
        <charset val="1"/>
      </rPr>
      <t xml:space="preserve">HR </t>
    </r>
    <r>
      <rPr>
        <sz val="10"/>
        <rFont val="Noto Sans CJK SC"/>
        <family val="2"/>
      </rPr>
      <t xml:space="preserve">가입승인 알림</t>
    </r>
  </si>
  <si>
    <t xml:space="preserve">누가 가입을 신청하면 인사 담당자 전원에게 "가입 승인 요청" 알림. 누르면 가입 승인 메뉴로 이동. 인사 포털 상단에도 🔔 표시</t>
  </si>
  <si>
    <t xml:space="preserve">SQL 실행 후 시험 필요.</t>
  </si>
  <si>
    <t xml:space="preserve">35</t>
  </si>
  <si>
    <t xml:space="preserve">기사 피드백 알림</t>
  </si>
  <si>
    <t xml:space="preserve">수정 요청 알림 + 새 피드백 알림 구현. 2026-10-08 사용자가 실제 알림 도착 확인</t>
  </si>
  <si>
    <t xml:space="preserve">36</t>
  </si>
  <si>
    <t xml:space="preserve">출고대기 알림</t>
  </si>
  <si>
    <t xml:space="preserve">검토 요청·재검토 요청·승인 완료·출고 완료 알림 있음</t>
  </si>
  <si>
    <t xml:space="preserve">37</t>
  </si>
  <si>
    <t xml:space="preserve">인사정보 변경 알림</t>
  </si>
  <si>
    <t xml:space="preserve">인사 담당자가 내 부서·직책·직급·역할 등을 바꾸면 본인에게 "인사 정보 변경" 알림 (바뀐 내용 포함)</t>
  </si>
  <si>
    <t xml:space="preserve">38</t>
  </si>
  <si>
    <t xml:space="preserve">알림 업무 바로가기</t>
  </si>
  <si>
    <t xml:space="preserve">알림을 누르면 해당 기사로 바로 이동</t>
  </si>
  <si>
    <t xml:space="preserve">39</t>
  </si>
  <si>
    <t xml:space="preserve">알림 영구저장·Realtime</t>
  </si>
  <si>
    <r>
      <rPr>
        <sz val="10"/>
        <rFont val="Noto Sans CJK SC"/>
        <family val="2"/>
      </rPr>
      <t xml:space="preserve">알림이 </t>
    </r>
    <r>
      <rPr>
        <sz val="10"/>
        <rFont val="Malgun Gothic"/>
        <family val="0"/>
        <charset val="1"/>
      </rPr>
      <t xml:space="preserve">DB</t>
    </r>
    <r>
      <rPr>
        <sz val="10"/>
        <rFont val="Noto Sans CJK SC"/>
        <family val="2"/>
      </rPr>
      <t xml:space="preserve">에 영구 저장되고 새 알림이 오면 바로 🔔에 반영</t>
    </r>
    <r>
      <rPr>
        <sz val="10"/>
        <rFont val="Malgun Gothic"/>
        <family val="0"/>
        <charset val="1"/>
      </rPr>
      <t xml:space="preserve">(Realtime). </t>
    </r>
    <r>
      <rPr>
        <sz val="10"/>
        <rFont val="Noto Sans CJK SC"/>
        <family val="2"/>
      </rPr>
      <t xml:space="preserve">사용자가 정상 동작 확인</t>
    </r>
  </si>
  <si>
    <t xml:space="preserve">Realtime이 끊겨도 60초마다 다시 확인.</t>
  </si>
  <si>
    <t xml:space="preserve">40</t>
  </si>
  <si>
    <t xml:space="preserve">감사 로그</t>
  </si>
  <si>
    <t xml:space="preserve">기사 감사 기록 8종 + 인사·권한 변경 기록(직원 정보·부서·직책 변경 시 자동 기록, 인사 포털 "인사·권한 변경 기록" 메뉴)</t>
  </si>
  <si>
    <t xml:space="preserve">마이그레이션 20261008210000 실행 후 확인 필요.</t>
  </si>
  <si>
    <t xml:space="preserve">41</t>
  </si>
  <si>
    <t xml:space="preserve">상단 헤더 단순화</t>
  </si>
  <si>
    <t xml:space="preserve">상단 헤더에 검색·알림센터·내 프로필 중심으로 정리됨 (코드 확인)</t>
  </si>
  <si>
    <t xml:space="preserve">화면 모양은 직접 확인 권장.</t>
  </si>
  <si>
    <r>
      <rPr>
        <b val="true"/>
        <sz val="10"/>
        <rFont val="Malgun Gothic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인프라 </t>
    </r>
    <r>
      <rPr>
        <b val="true"/>
        <sz val="10"/>
        <rFont val="Malgun Gothic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작업지시서 전용 항목</t>
    </r>
  </si>
  <si>
    <t xml:space="preserve">42</t>
  </si>
  <si>
    <r>
      <rPr>
        <sz val="10"/>
        <rFont val="Malgun Gothic"/>
        <family val="0"/>
        <charset val="1"/>
      </rPr>
      <t xml:space="preserve">Supabase </t>
    </r>
    <r>
      <rPr>
        <sz val="10"/>
        <rFont val="Noto Sans CJK SC"/>
        <family val="2"/>
      </rPr>
      <t xml:space="preserve">데이터 연동</t>
    </r>
  </si>
  <si>
    <t xml:space="preserve">Auth/Postgres/Storage/Edge Functions</t>
  </si>
  <si>
    <t xml:space="preserve">I-1</t>
  </si>
  <si>
    <r>
      <rPr>
        <sz val="10"/>
        <rFont val="Malgun Gothic"/>
        <family val="0"/>
        <charset val="1"/>
      </rPr>
      <t xml:space="preserve">STT(</t>
    </r>
    <r>
      <rPr>
        <sz val="10"/>
        <rFont val="Noto Sans CJK SC"/>
        <family val="2"/>
      </rPr>
      <t xml:space="preserve">음성→텍스트</t>
    </r>
    <r>
      <rPr>
        <sz val="10"/>
        <rFont val="Malgun Gothic"/>
        <family val="0"/>
        <charset val="1"/>
      </rPr>
      <t xml:space="preserve">)</t>
    </r>
  </si>
  <si>
    <t xml:space="preserve">핵심기술: 음성 데이터의 텍스트 변환</t>
  </si>
  <si>
    <t xml:space="preserve">구현·실사용 확인(Gemini). [녹음 받아쓰기]: 언어 4개, 발표·강연/인터뷰(화자 구분), 화자 이름 바꾸기, 엔진 3종(Gemini·OpenAI·구글 클라우드). 2026-10-08 합성 음성으로 인터뷰(화자1·2 분리)·발표(화자 표시 없음)·영어(번역 없이 영어 그대로) 모두 통과. Claude는 소리를 들을 수 없어 제외 10-14 받아쓰기 모델을 글쓰기 모델과 따로 고르도록 분리(N-18).</t>
  </si>
  <si>
    <r>
      <rPr>
        <sz val="10"/>
        <rFont val="Malgun Gothic"/>
        <family val="0"/>
        <charset val="1"/>
      </rPr>
      <t xml:space="preserve">10-16 </t>
    </r>
    <r>
      <rPr>
        <sz val="10"/>
        <rFont val="Noto Sans CJK SC"/>
        <family val="2"/>
      </rPr>
      <t xml:space="preserve">로컬 재시험 통과</t>
    </r>
    <r>
      <rPr>
        <sz val="10"/>
        <rFont val="Malgun Gothic"/>
        <family val="0"/>
        <charset val="1"/>
      </rPr>
      <t xml:space="preserve">(Gemini gemini-3.8-flash·gemini-3.6-flash, </t>
    </r>
    <r>
      <rPr>
        <sz val="10"/>
        <rFont val="Noto Sans CJK SC"/>
        <family val="2"/>
      </rPr>
      <t xml:space="preserve">발표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인터뷰 모두</t>
    </r>
    <r>
      <rPr>
        <sz val="10"/>
        <rFont val="Malgun Gothic"/>
        <family val="0"/>
        <charset val="1"/>
      </rPr>
      <t xml:space="preserve">). 3.8</t>
    </r>
    <r>
      <rPr>
        <sz val="10"/>
        <rFont val="Noto Sans CJK SC"/>
        <family val="2"/>
      </rPr>
      <t xml:space="preserve">은 첫 시도 </t>
    </r>
    <r>
      <rPr>
        <sz val="10"/>
        <rFont val="Malgun Gothic"/>
        <family val="0"/>
        <charset val="1"/>
      </rPr>
      <t xml:space="preserve">1</t>
    </r>
    <r>
      <rPr>
        <sz val="10"/>
        <rFont val="Noto Sans CJK SC"/>
        <family val="2"/>
      </rPr>
      <t xml:space="preserve">회 빈 결과</t>
    </r>
    <r>
      <rPr>
        <sz val="10"/>
        <rFont val="Malgun Gothic"/>
        <family val="0"/>
        <charset val="1"/>
      </rPr>
      <t xml:space="preserve">("</t>
    </r>
    <r>
      <rPr>
        <sz val="10"/>
        <rFont val="Noto Sans CJK SC"/>
        <family val="2"/>
      </rPr>
      <t xml:space="preserve">받아 적을 말을 찾지 못했습니다</t>
    </r>
    <r>
      <rPr>
        <sz val="10"/>
        <rFont val="Malgun Gothic"/>
        <family val="0"/>
        <charset val="1"/>
      </rPr>
      <t xml:space="preserve">") </t>
    </r>
    <r>
      <rPr>
        <sz val="10"/>
        <rFont val="Noto Sans CJK SC"/>
        <family val="2"/>
      </rPr>
      <t xml:space="preserve">후 재시도에서 정상 — 가끔 다시 눌러야 할 수 있음</t>
    </r>
    <r>
      <rPr>
        <sz val="10"/>
        <rFont val="Malgun Gothic"/>
        <family val="0"/>
        <charset val="1"/>
      </rPr>
      <t xml:space="preserve">. gemini-3.5-transcribe</t>
    </r>
    <r>
      <rPr>
        <sz val="10"/>
        <rFont val="Noto Sans CJK SC"/>
        <family val="2"/>
      </rPr>
      <t xml:space="preserve">는 실패해 목록에서 뺌</t>
    </r>
    <r>
      <rPr>
        <sz val="10"/>
        <rFont val="Malgun Gothic"/>
        <family val="0"/>
        <charset val="1"/>
      </rPr>
      <t xml:space="preserve">. OpenAI</t>
    </r>
    <r>
      <rPr>
        <sz val="10"/>
        <rFont val="Noto Sans CJK SC"/>
        <family val="2"/>
      </rPr>
      <t xml:space="preserve">는 </t>
    </r>
    <r>
      <rPr>
        <sz val="10"/>
        <rFont val="Malgun Gothic"/>
        <family val="0"/>
        <charset val="1"/>
      </rPr>
      <t xml:space="preserve">10-16 </t>
    </r>
    <r>
      <rPr>
        <sz val="10"/>
        <rFont val="Noto Sans CJK SC"/>
        <family val="2"/>
      </rPr>
      <t xml:space="preserve">시험</t>
    </r>
    <r>
      <rPr>
        <sz val="10"/>
        <rFont val="Malgun Gothic"/>
        <family val="0"/>
        <charset val="1"/>
      </rPr>
      <t xml:space="preserve">(N-11 </t>
    </r>
    <r>
      <rPr>
        <sz val="10"/>
        <rFont val="Noto Sans CJK SC"/>
        <family val="2"/>
      </rPr>
      <t xml:space="preserve">참고</t>
    </r>
    <r>
      <rPr>
        <sz val="10"/>
        <rFont val="Malgun Gothic"/>
        <family val="0"/>
        <charset val="1"/>
      </rPr>
      <t xml:space="preserve">), </t>
    </r>
    <r>
      <rPr>
        <sz val="10"/>
        <rFont val="Noto Sans CJK SC"/>
        <family val="2"/>
      </rPr>
      <t xml:space="preserve">구글 클라우드는 사용자 결정으로 보류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조직 정책으로 키 생성이 막힘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받아쓴 지명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숫자는 반드시 확인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합성 음성의 시 이름이 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당진</t>
    </r>
    <r>
      <rPr>
        <sz val="10"/>
        <rFont val="Malgun Gothic"/>
        <family val="0"/>
        <charset val="1"/>
      </rPr>
      <t xml:space="preserve">"/"</t>
    </r>
    <r>
      <rPr>
        <sz val="10"/>
        <rFont val="Noto Sans CJK SC"/>
        <family val="2"/>
      </rPr>
      <t xml:space="preserve">하나시</t>
    </r>
    <r>
      <rPr>
        <sz val="10"/>
        <rFont val="Malgun Gothic"/>
        <family val="0"/>
        <charset val="1"/>
      </rPr>
      <t xml:space="preserve">"</t>
    </r>
    <r>
      <rPr>
        <sz val="10"/>
        <rFont val="Noto Sans CJK SC"/>
        <family val="2"/>
      </rPr>
      <t xml:space="preserve">로 다르게 적힘</t>
    </r>
    <r>
      <rPr>
        <sz val="10"/>
        <rFont val="Malgun Gothic"/>
        <family val="0"/>
        <charset val="1"/>
      </rPr>
      <t xml:space="preserve">).</t>
    </r>
  </si>
  <si>
    <t xml:space="preserve">I-2</t>
  </si>
  <si>
    <t xml:space="preserve">이미지 생성 AI API</t>
  </si>
  <si>
    <t xml:space="preserve">핵심기술: 이미지 생성 AI API</t>
  </si>
  <si>
    <t xml:space="preserve">구현됨. 미디어 탭 [AI 이미지]: 설명글→생성→미리보기→라이브러리 업로드. 출처 "AI 생성(모델명)"과 캡션 [AI 생성 이미지] 자동 표기. Gemini·OpenAI 지원</t>
  </si>
  <si>
    <t xml:space="preserve">10-16 OpenAI 키로 시험 통과(T33): gpt-image-2.5-flare로 생성, 올리면 캡션 [AI 생성 이미지]·출처 "AI 생성 (OpenAI gpt-image-2.5-flare)" 자동 표기. T34: 실제 로고가 그려지는 문제를 발견해, 로고·상표·실존 인물 얼굴 요청은 AI 호출 전에 거절하도록 고친 뒤 통과. Gemini 이미지 모델은 결제 연결 키가 없어 시험 못 함. OpenAI 이미지는 요금이 높으니 주의.</t>
  </si>
  <si>
    <t xml:space="preserve">I-3</t>
  </si>
  <si>
    <t xml:space="preserve">웹크롤링·데이터 처리</t>
  </si>
  <si>
    <t xml:space="preserve">핵심기술: 웹 크롤링 및 데이터 처리</t>
  </si>
  <si>
    <t xml:space="preserve">🟠</t>
  </si>
  <si>
    <t xml:space="preserve">구현됨. [웹 주소에서 가져오기]: 제목·본문 추출, 출처 주소·수집일 자동 기재, 내부망 주소 차단, robots.txt 준수, 2MB·3만 자 제한 10-14 로컬 시험 T28~T30 통과(입력 양식이 겹쳐 새로고침되던 오류를 고친 뒤).</t>
  </si>
  <si>
    <t xml:space="preserve">로그인이 필요하거나 자바스크립트로 그려지는 사이트는 못 읽을 수 있음.</t>
  </si>
  <si>
    <t xml:space="preserve">I-4</t>
  </si>
  <si>
    <t xml:space="preserve">단계별 기사 작성 프로세스</t>
  </si>
  <si>
    <t xml:space="preserve">핵심기술: 단계별 기사 작성 프로세스</t>
  </si>
  <si>
    <t xml:space="preserve">🟢</t>
  </si>
  <si>
    <r>
      <rPr>
        <sz val="10"/>
        <rFont val="Malgun Gothic"/>
        <family val="0"/>
        <charset val="1"/>
      </rPr>
      <t xml:space="preserve">CMS </t>
    </r>
    <r>
      <rPr>
        <sz val="10"/>
        <rFont val="Noto Sans CJK SC"/>
        <family val="2"/>
      </rPr>
      <t xml:space="preserve">워크플로우 자체가 강점</t>
    </r>
  </si>
  <si>
    <t xml:space="preserve">I-5</t>
  </si>
  <si>
    <t xml:space="preserve">기자용 내부 B2B 적합성</t>
  </si>
  <si>
    <t xml:space="preserve">설계 자체가 부합</t>
  </si>
  <si>
    <t xml:space="preserve">I-6</t>
  </si>
  <si>
    <t xml:space="preserve">윤리·저작권 대응(AI 출처관리)</t>
  </si>
  <si>
    <t xml:space="preserve">제약: 윤리 및 저작권</t>
  </si>
  <si>
    <t xml:space="preserve">AI 초안을 본문에 넣으면 기사 이력에 "AI 초안 반영" 자동 기록. 출고 창 AI 사용 안내, 웹 자료 출처·수집일, AI 이미지 출처·캡션 자동 표기</t>
  </si>
  <si>
    <r>
      <rPr>
        <sz val="10"/>
        <rFont val="Noto Sans CJK SC"/>
        <family val="2"/>
      </rPr>
      <t xml:space="preserve">표기 문구와 기준은 회사 정책 확정 필요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문장 단위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표시는 만들지 않음</t>
    </r>
    <r>
      <rPr>
        <sz val="10"/>
        <rFont val="Malgun Gothic"/>
        <family val="0"/>
        <charset val="1"/>
      </rPr>
      <t xml:space="preserve">(I-7</t>
    </r>
    <r>
      <rPr>
        <sz val="10"/>
        <rFont val="Noto Sans CJK SC"/>
        <family val="2"/>
      </rPr>
      <t xml:space="preserve">이 대신 근거 확인을 제공</t>
    </r>
    <r>
      <rPr>
        <sz val="10"/>
        <rFont val="Malgun Gothic"/>
        <family val="0"/>
        <charset val="1"/>
      </rPr>
      <t xml:space="preserve">).</t>
    </r>
  </si>
  <si>
    <t xml:space="preserve">I-7</t>
  </si>
  <si>
    <t xml:space="preserve">정확성·신뢰성(근거검증)</t>
  </si>
  <si>
    <t xml:space="preserve">제약: 정보의 정확성·신뢰성</t>
  </si>
  <si>
    <t xml:space="preserve">AI 초안 문장마다 내가 준 자료(답변·취재 메모·수집 팩트)와 글자 비교: 초록=근거 있음, 노랑=근거 못 찾음(숫자 불일치 포함). 끄고 켤 수 있음. 비어 있는 항목은 [확인 필요]로 표시</t>
  </si>
  <si>
    <t xml:space="preserve">T20 대응(10-16): 수정 지시로 자료에 없는 발언·사실을 넣어 달라고 하면 넣지 않고 "근거가 없어 넣지 않았습니다"라고 답하도록 지시문 변경 + 서버에서 수정 지시가 수집된 사실(육하원칙·발언·수치)을 바꾸지 못하게 막음. ai-interview-draft 재배포 후 재시험 필요. 그 밖: 10-16 T02에서 "수집된 팩트 조각"의 발언 칸이 빈 따옴표로 표시되는 문제 발견(본문 인용은 정상).</t>
  </si>
  <si>
    <t xml:space="preserve">I-8</t>
  </si>
  <si>
    <t xml:space="preserve">보안·프라이버시</t>
  </si>
  <si>
    <t xml:space="preserve">제약: 보안 및 프라이버시</t>
  </si>
  <si>
    <r>
      <rPr>
        <sz val="10"/>
        <rFont val="Malgun Gothic"/>
        <family val="0"/>
        <charset val="1"/>
      </rPr>
      <t xml:space="preserve">RLS/RPC/</t>
    </r>
    <r>
      <rPr>
        <sz val="10"/>
        <rFont val="Noto Sans CJK SC"/>
        <family val="2"/>
      </rPr>
      <t xml:space="preserve">권한감사 구현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이번에 개인 </t>
    </r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키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구글 클라우드 키를 서버에서 암호화 저장하도록 강화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키는 로그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주소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채팅에 남기지 않음</t>
    </r>
  </si>
  <si>
    <r>
      <rPr>
        <b val="true"/>
        <sz val="10"/>
        <rFont val="Malgun Gothic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이번 작업에서 추가한 기능 </t>
    </r>
    <r>
      <rPr>
        <b val="true"/>
        <sz val="10"/>
        <rFont val="Malgun Gothic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첨부표에 없던 항목</t>
    </r>
    <r>
      <rPr>
        <b val="true"/>
        <sz val="10"/>
        <rFont val="Malgun Gothic"/>
        <family val="0"/>
        <charset val="1"/>
      </rPr>
      <t xml:space="preserve">)</t>
    </r>
  </si>
  <si>
    <t xml:space="preserve">N-1</t>
  </si>
  <si>
    <t xml:space="preserve">개인 AI 키 서버 암호화 저장</t>
  </si>
  <si>
    <t xml:space="preserve">—</t>
  </si>
  <si>
    <t xml:space="preserve">키를 계정별로 암호화해 서버에 저장(AES-GCM). 다른 컴퓨터에서도 재입력 불필요, 화면에는 뒤 4자리만 표시. 등록·AI 검수·받아쓰기 동작 확인. 구글 클라우드 키 칸에 엉뚱한 JSON을 넣으면 거절됨(확인)</t>
  </si>
  <si>
    <t xml:space="preserve">기존 브라우저 저장 키는 자동으로 계정으로 옮겨짐.</t>
  </si>
  <si>
    <t xml:space="preserve">N-2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</si>
  <si>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공급자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모델 선택</t>
    </r>
  </si>
  <si>
    <t xml:space="preserve">제약: 반복적 모델 개선</t>
  </si>
  <si>
    <r>
      <rPr>
        <sz val="10"/>
        <rFont val="Malgun Gothic"/>
        <family val="0"/>
        <charset val="1"/>
      </rPr>
      <t xml:space="preserve">Gemini / OpenAI / Claude / </t>
    </r>
    <r>
      <rPr>
        <sz val="10"/>
        <rFont val="Noto Sans CJK SC"/>
        <family val="2"/>
      </rPr>
      <t xml:space="preserve">사내 </t>
    </r>
    <r>
      <rPr>
        <sz val="10"/>
        <rFont val="Malgun Gothic"/>
        <family val="0"/>
        <charset val="1"/>
      </rPr>
      <t xml:space="preserve">API </t>
    </r>
    <r>
      <rPr>
        <sz val="10"/>
        <rFont val="Noto Sans CJK SC"/>
        <family val="2"/>
      </rPr>
      <t xml:space="preserve">중 선택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모델은 목록에서 선택</t>
    </r>
    <r>
      <rPr>
        <sz val="10"/>
        <rFont val="Malgun Gothic"/>
        <family val="0"/>
        <charset val="1"/>
      </rPr>
      <t xml:space="preserve">. 10-14 </t>
    </r>
    <r>
      <rPr>
        <sz val="10"/>
        <rFont val="Noto Sans CJK SC"/>
        <family val="2"/>
      </rPr>
      <t xml:space="preserve">목록 최신화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기본값 </t>
    </r>
    <r>
      <rPr>
        <sz val="10"/>
        <rFont val="Malgun Gothic"/>
        <family val="0"/>
        <charset val="1"/>
      </rPr>
      <t xml:space="preserve">Gemini gemini-3.8-flash, OpenAI gpt-6-luna, Claude claude-sonnet-5-5)</t>
    </r>
  </si>
  <si>
    <t xml:space="preserve">10-16 시험은 gemini-3.6-flash로 진행(3.8은 구글 혼잡 503). 새 모델 이름 중 실제 호출 확인: gemini-3.8-flash·3.6-flash·3.5-flash-lite. 나머지는 시험 전. OpenAI gpt-6-luna(사진 분석)·gpt-image-2.5-flare 실제 호출 확인(10-16).</t>
  </si>
  <si>
    <t xml:space="preserve">N-3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</si>
  <si>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혼잡</t>
    </r>
    <r>
      <rPr>
        <sz val="10"/>
        <rFont val="Malgun Gothic"/>
        <family val="0"/>
        <charset val="1"/>
      </rPr>
      <t xml:space="preserve">(503) </t>
    </r>
    <r>
      <rPr>
        <sz val="10"/>
        <rFont val="Noto Sans CJK SC"/>
        <family val="2"/>
      </rPr>
      <t xml:space="preserve">자동 재시도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안내</t>
    </r>
  </si>
  <si>
    <t xml:space="preserve">일시 혼잡 시 자동으로 두 번 재시도, 계속되면 친절한 안내. 사용자가 재배포 후 정상 동작 확인함</t>
  </si>
  <si>
    <t xml:space="preserve">N-4</t>
  </si>
  <si>
    <t xml:space="preserve">녹음 받아쓰기 세부 옵션</t>
  </si>
  <si>
    <t xml:space="preserve">핵심기술: STT</t>
  </si>
  <si>
    <t xml:space="preserve">언어 선택, 발표/인터뷰, 말하는 사람 수 힌트, 화자 이름 바꾸기(김기자·박시장으로 바꾸면 메모 전체에 반영). Gemini로 실사용 확인 완료. 한도: Gemini·OpenAI 10MB, 구글 클라우드 30분·60MB</t>
  </si>
  <si>
    <t xml:space="preserve">일본어·중국어와 사람 수 힌트는 직접 시험하지 못함.</t>
  </si>
  <si>
    <t xml:space="preserve">N-5</t>
  </si>
  <si>
    <t xml:space="preserve">구글 클라우드 연동(받아쓰기 전용)</t>
  </si>
  <si>
    <t xml:space="preserve">서비스 계정 키(JSON)를 환경설정에 등록 → 서버가 구글 로그인 후 Speech-to-Text V2(Chirp 3)로 55초 조각 단위 받아쓰기. 인터뷰는 화자 구분 사용. 키 칸·잘못된 키 거절은 화면에서 확인</t>
  </si>
  <si>
    <t xml:space="preserve">실제 구글 계정으로 받아쓰기를 호출해 본 적이 없습니다(T42·T43·T46·T47). 지역은 미국(us) 기본. 조각마다 화자 번호가 다시 매겨질 수 있음. 10-16 사용자 결정: 구글 클라우드·OpenAI 받아쓰기 시험은 보류.</t>
  </si>
  <si>
    <t xml:space="preserve">N-6</t>
  </si>
  <si>
    <r>
      <rPr>
        <sz val="10"/>
        <rFont val="Malgun Gothic"/>
        <family val="0"/>
        <charset val="1"/>
      </rPr>
      <t xml:space="preserve">AI </t>
    </r>
    <r>
      <rPr>
        <sz val="10"/>
        <rFont val="Noto Sans CJK SC"/>
        <family val="2"/>
      </rPr>
      <t xml:space="preserve">사용 현황 기록</t>
    </r>
    <r>
      <rPr>
        <sz val="10"/>
        <rFont val="Malgun Gothic"/>
        <family val="0"/>
        <charset val="1"/>
      </rPr>
      <t xml:space="preserve">·</t>
    </r>
    <r>
      <rPr>
        <sz val="10"/>
        <rFont val="Noto Sans CJK SC"/>
        <family val="2"/>
      </rPr>
      <t xml:space="preserve">표</t>
    </r>
  </si>
  <si>
    <t xml:space="preserve">제약/산출물: 성능·평가</t>
  </si>
  <si>
    <t xml:space="preserve">모든 AI 호출의 성공 여부·응답 시간·결과 길이를 기능·모델별로 기록(글 내용·이름은 기록 안 함). 환경설정 하단 표에서 "녹음 변환 · Gemini gemini-3.8-flash · 3회 · 성공률 100% · 평균 29초" 확인</t>
  </si>
  <si>
    <t xml:space="preserve">10-16 AI 초안·원자료 정리·사진 분석의 호출 기록이 빠져 있던 것을 고치고 재배포 후 기록되는 것 확인. 성능/평가 산출물용 수치는 이제부터 쌓임. OpenAI 받아쓰기와 이미지가 실제와 다른 모델 이름(whisper-1, 글쓰기 모델)으로 기록되던 것도 고침(재배포 후 확인).</t>
  </si>
  <si>
    <t xml:space="preserve">N-7</t>
  </si>
  <si>
    <t xml:space="preserve">사용자 가이드 "API 연결 &amp; 요금" 탭</t>
  </si>
  <si>
    <t xml:space="preserve">산출물/사용 안내</t>
  </si>
  <si>
    <r>
      <rPr>
        <sz val="10"/>
        <rFont val="Malgun Gothic"/>
        <family val="0"/>
        <charset val="1"/>
      </rPr>
      <t xml:space="preserve">Gemini·OpenAI·Claude·</t>
    </r>
    <r>
      <rPr>
        <sz val="10"/>
        <rFont val="Noto Sans CJK SC"/>
        <family val="2"/>
      </rPr>
      <t xml:space="preserve">구글 클라우드 키 발급 순서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연결 가능 기능 비교표</t>
    </r>
    <r>
      <rPr>
        <sz val="10"/>
        <rFont val="Malgun Gothic"/>
        <family val="0"/>
        <charset val="1"/>
      </rPr>
      <t xml:space="preserve">, </t>
    </r>
    <r>
      <rPr>
        <sz val="10"/>
        <rFont val="Noto Sans CJK SC"/>
        <family val="2"/>
      </rPr>
      <t xml:space="preserve">요금 표</t>
    </r>
    <r>
      <rPr>
        <sz val="10"/>
        <rFont val="Malgun Gothic"/>
        <family val="0"/>
        <charset val="1"/>
      </rPr>
      <t xml:space="preserve">(2026-10-08 </t>
    </r>
    <r>
      <rPr>
        <sz val="10"/>
        <rFont val="Noto Sans CJK SC"/>
        <family val="2"/>
      </rPr>
      <t xml:space="preserve">기준</t>
    </r>
    <r>
      <rPr>
        <sz val="10"/>
        <rFont val="Malgun Gothic"/>
        <family val="0"/>
        <charset val="1"/>
      </rPr>
      <t xml:space="preserve">). </t>
    </r>
    <r>
      <rPr>
        <sz val="10"/>
        <rFont val="Noto Sans CJK SC"/>
        <family val="2"/>
      </rPr>
      <t xml:space="preserve">화면에서 탭 표시 확인</t>
    </r>
  </si>
  <si>
    <t xml:space="preserve">요금은 자주 바뀌므로 정기 갱신 필요. 모바일 폭 표시는 미확인.</t>
  </si>
  <si>
    <t xml:space="preserve">N-8</t>
  </si>
  <si>
    <t xml:space="preserve">요구사항 분석표·테스트 데이터셋</t>
  </si>
  <si>
    <t xml:space="preserve">산출물: 요구사항 분석표, 테스트 데이터셋</t>
  </si>
  <si>
    <t xml:space="preserve">엑셀 1개(요구사항 14건, 테스트 48건)와 샘플 자료 5개(docs/test-data). 10-16 시험 결과 반영</t>
  </si>
  <si>
    <t xml:space="preserve">판정은 10-08·10-14 시험분만 기입. 나머지는 시험 후 기입.</t>
  </si>
  <si>
    <t xml:space="preserve">N-9</t>
  </si>
  <si>
    <t xml:space="preserve">코드·파일 정리</t>
  </si>
  <si>
    <t xml:space="preserve">사용하지 않는 코드(App.tsx의 죽은 코드 등) 삭제, README 갱신</t>
  </si>
  <si>
    <t xml:space="preserve">별점 기능 파일 3개와 MediaLibraryDrawer.tsx는 폴더에 없음(10-16 확인). 남은 정리(안 쓰는 코드·중복 코드)는 재시험 뒤 진행 예정.</t>
  </si>
  <si>
    <t xml:space="preserve">N-10</t>
  </si>
  <si>
    <t xml:space="preserve">별점·점수 평가 기록</t>
  </si>
  <si>
    <t xml:space="preserve">작업지시서 ④ 보조</t>
  </si>
  <si>
    <t xml:space="preserve">팀 결정으로 만들지 않기로 함(피드백→재생성 루프는 수정 지시·문단 재작성으로 충족)</t>
  </si>
  <si>
    <t xml:space="preserve">성능/평가 산출물은 N-6 사용 현황 표로 대신.</t>
  </si>
  <si>
    <t xml:space="preserve">N-11</t>
  </si>
  <si>
    <r>
      <rPr>
        <sz val="10"/>
        <rFont val="Malgun Gothic"/>
        <family val="0"/>
        <charset val="1"/>
      </rPr>
      <t xml:space="preserve">OpenAI </t>
    </r>
    <r>
      <rPr>
        <sz val="10"/>
        <rFont val="Noto Sans CJK SC"/>
        <family val="2"/>
      </rPr>
      <t xml:space="preserve">받아쓰기</t>
    </r>
    <r>
      <rPr>
        <sz val="10"/>
        <rFont val="Malgun Gothic"/>
        <family val="0"/>
        <charset val="1"/>
      </rPr>
      <t xml:space="preserve">(</t>
    </r>
    <r>
      <rPr>
        <sz val="10"/>
        <rFont val="Noto Sans CJK SC"/>
        <family val="2"/>
      </rPr>
      <t xml:space="preserve">화자 구분 모델 포함</t>
    </r>
    <r>
      <rPr>
        <sz val="10"/>
        <rFont val="Malgun Gothic"/>
        <family val="0"/>
        <charset val="1"/>
      </rPr>
      <t xml:space="preserve">)</t>
    </r>
  </si>
  <si>
    <t xml:space="preserve">엔진에서 OpenAI 선택. 인터뷰는 화자 구분 전용 모델(gpt-4o-transcribe-diarize), 그 밖에 gpt-4o-transcribe·gpt-transcribe 등 선택 가능. 화자를 나누지 못하는 모델은 화면에 "화자 구분 불가" 표시</t>
  </si>
  <si>
    <t xml:space="preserve">10-16 OpenAI 키로 시험: 발표(gpt-4o-transcribe)는 한국어로 받아 적음(정확도는 Gemini보다 낮음, "심야버스"→"신약어스"). 인터뷰(gpt-4o-transcribe-diarize)는 화자는 나누지만 한국어 녹음을 영어로 잘못 적음 — 언어를 알려 주도록 고친 뒤에도 같아 모델 한계로 판단. 화면의 모델 설명에 "한국어 인터뷰는 Gemini 권장" 안내 추가.</t>
  </si>
  <si>
    <t xml:space="preserve">N-12</t>
  </si>
  <si>
    <t xml:space="preserve">설정 화면 보안 문구 정정</t>
  </si>
  <si>
    <t xml:space="preserve">설정 화면 윗부분에 "키는 브라우저에만 저장, 서버에는 저장 안 함"이라는 옛 문구가 남아 있어 현재 방식(서버에 암호화 저장)에 맞게 고침</t>
  </si>
  <si>
    <t xml:space="preserve">화면 반영은 개발 서버 새로고침 후 확인.</t>
  </si>
  <si>
    <t xml:space="preserve">N-13</t>
  </si>
  <si>
    <t xml:space="preserve">시험용 합성 음성 자료</t>
  </si>
  <si>
    <t xml:space="preserve">산출물: 테스트 데이터셋</t>
  </si>
  <si>
    <t xml:space="preserve">한국어 인터뷰(두 사람)·한국어 발표·영어 발표 음성 3개(docs/test-data/audio_*.ogg)</t>
  </si>
  <si>
    <t xml:space="preserve">사람 목소리 녹음으로 한 번 더 시험 권장. public/_tmp_test_audio는 재시험용으로 남겨 둠(GitHub에는 안 올라감).</t>
  </si>
  <si>
    <r>
      <rPr>
        <b val="true"/>
        <sz val="10"/>
        <rFont val="Malgun Gothic"/>
        <family val="0"/>
        <charset val="1"/>
      </rPr>
      <t xml:space="preserve">K. 10-12 ~ 10-16 </t>
    </r>
    <r>
      <rPr>
        <b val="true"/>
        <sz val="10"/>
        <rFont val="Noto Sans CJK SC"/>
        <family val="2"/>
      </rPr>
      <t xml:space="preserve">추가</t>
    </r>
    <r>
      <rPr>
        <b val="true"/>
        <sz val="10"/>
        <rFont val="Malgun Gothic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수정한 기능</t>
    </r>
  </si>
  <si>
    <t xml:space="preserve">N-14</t>
  </si>
  <si>
    <t xml:space="preserve">임시 비밀번호 방식 가입·분실 처리</t>
  </si>
  <si>
    <t xml:space="preserve">초대 메일 대신 인사부 화면에 임시 비밀번호를 한 번만 표시해 직접 전달. 분실 신고도 [임시 비밀번호 발급]으로 처리(기존 비밀번호 즉시 무효). 임시 비밀번호는 저장·기록하지 않음</t>
  </si>
  <si>
    <t xml:space="preserve">10-16 사용자가 가입 시 임시 비밀번호 표시를 확인. 분실 신고의 임시 비밀번호 발급은 따로 확인하지 않음.</t>
  </si>
  <si>
    <t xml:space="preserve">N-15</t>
  </si>
  <si>
    <t xml:space="preserve">승인 전 읽기 전용 계정</t>
  </si>
  <si>
    <t xml:space="preserve">가입 신청하면 바로 로그인 가능, 승인 전에는 읽기만 가능하고 화면 위에 "인사부 승인 대기 중" 안내. 승인되면 30초 안에 자동으로 풀림. 서버 규칙도 읽기는 허용·쓰기만 막도록 정리(20261013120000)</t>
  </si>
  <si>
    <t xml:space="preserve">10-16 사용자가 승인 전 읽기 전용 동작을 확인.</t>
  </si>
  <si>
    <t xml:space="preserve">N-16</t>
  </si>
  <si>
    <t xml:space="preserve">비밀번호 직접 변경</t>
  </si>
  <si>
    <t xml:space="preserve">환경설정 &gt; 비밀번호 변경: 현재 비밀번호 확인, 8자 이상 영문+숫자</t>
  </si>
  <si>
    <t xml:space="preserve">배포 후 실제 시험 전.</t>
  </si>
  <si>
    <t xml:space="preserve">N-17</t>
  </si>
  <si>
    <t xml:space="preserve">왼쪽 메뉴 [녹음 정리] 탭</t>
  </si>
  <si>
    <t xml:space="preserve">녹음 파일 올리기, 받아쓴 글 편집·복사·TXT 받기, 화자 이름 일괄 바꾸기, 요약(원자료 정리 기능 재사용). 10-16 파일 크기가 작은 파일에서 0.0MB로 보이던 표시를 KB로 고침</t>
  </si>
  <si>
    <t xml:space="preserve">10-16 로컬에서 발표·인터뷰 받아쓰기와 화자 나누기 확인. 요약하기·TXT 받기는 아직 눌러 보지 않음.</t>
  </si>
  <si>
    <t xml:space="preserve">N-18</t>
  </si>
  <si>
    <t xml:space="preserve">받아쓰기 모델 따로 고르기</t>
  </si>
  <si>
    <t xml:space="preserve">글쓰기 모델과 따로 고름. 모델마다 "화자 구분 가능/불가" 표시, 불가 모델로 인터뷰를 고르면 "가능한 모델로 바꾸기" 버튼. 환경설정에도 같은 칸(이 컴퓨터의 브라우저에 저장)</t>
  </si>
  <si>
    <t xml:space="preserve">10-16 확인: gemini-3.8-flash·gemini-3.6-flash 성공. 실패한 gemini-3.5-transcribe는 목록에서 뺌. OpenAI 모델은 키가 없어 시험 전.</t>
  </si>
  <si>
    <t xml:space="preserve">N-19</t>
  </si>
  <si>
    <t xml:space="preserve">인사부 전용 왼쪽 메뉴·사용법 버튼</t>
  </si>
  <si>
    <t xml:space="preserve">인사부 화면에 왼쪽 메뉴(HR·Settings)와 하단 사용법 안내 버튼 추가. 인사 관리자용 안내서가 먼저 열림</t>
  </si>
  <si>
    <t xml:space="preserve">10-16 확인 중 왼쪽 메뉴 파일에 인사부 모드가 빠져 있던 것을 발견해 고침(이제 HR·Settings·사용법만 표시). 형식 검사·빌드 통과, 인사부 계정 화면 재확인 필요.</t>
  </si>
  <si>
    <t xml:space="preserve">N-20</t>
  </si>
  <si>
    <t xml:space="preserve">서버 오류 설명 그대로 표시</t>
  </si>
  <si>
    <t xml:space="preserve">AI 오류가 항상 "AI 기능을 지금 사용할 수 없습니다"로 가려지던 것을, 서버가 보낸 설명을 그대로 보여 주도록 바꿈</t>
  </si>
  <si>
    <t xml:space="preserve">10-16 확인: 서버가 보낸 설명("녹음에서 받아 적을 말을 찾지 못했습니다" 등)이 화면에 그대로 나옴. 10-16 오류 안내 팝업이 3초 만에 사라져 놓치기 쉬워, 오류는 8초 보이도록 수정(빌드 통과).</t>
  </si>
  <si>
    <t xml:space="preserve">N-21</t>
  </si>
  <si>
    <t xml:space="preserve">어두운 선택 목록 글씨 수정</t>
  </si>
  <si>
    <t xml:space="preserve">공통 규칙 때문에 어두운 선택 목록(인사 직원 명부 부서 필터 등)의 글씨가 안 보이던 문제 수정, 어두운 칸 4곳에 글씨색 지정</t>
  </si>
  <si>
    <t xml:space="preserve">10-16 사용자가 인사부 화면에서 확인.</t>
  </si>
  <si>
    <t xml:space="preserve">N-22</t>
  </si>
  <si>
    <t xml:space="preserve">배포(GitHub → Render)</t>
  </si>
  <si>
    <t xml:space="preserve">배포 주소(a-team-press-cms.onrender.com)는 이전 완성본으로 운영 중. 10-16 SQL(20261014100000) 실행, 최신 수정분 GitHub 업로드 진행</t>
  </si>
  <si>
    <t xml:space="preserve">업로드 후 Render 자동 배포와 Supabase 사이트 주소(Site URL) 등록 확인 필요.</t>
  </si>
  <si>
    <t xml:space="preserve">N-23</t>
  </si>
  <si>
    <t xml:space="preserve">기능별 AI 선택(사람마다)</t>
  </si>
  <si>
    <t xml:space="preserve">환경설정 2번 칸에서 검수·사진 분석·초안(원자료 정리·인포그래픽 포함)마다 AI 회사(Gemini·OpenAI·Claude)와 모델을 따로 고름. 내 계정에 저장되고 서버가 실제 호출에 사용. 고른 회사의 키가 없으면 기본 설정으로 대신 동작</t>
  </si>
  <si>
    <t xml:space="preserve">10-16 확인: 저장·새로고침 유지, 키 없는 회사 경고, 기본 모델 3.6인 상태에서 초안만 gemini-3.5-flash-lite로 고르자 사용 현황 표에 "AI 초안 작성 · gemini-3.5-flash-lite"로 기록됨(실제 적용 확인). OpenAI·Claude는 키가 없어 시험 전.</t>
  </si>
  <si>
    <t xml:space="preserve">구분</t>
  </si>
  <si>
    <t xml:space="preserve">작업지시서 항목</t>
  </si>
  <si>
    <t xml:space="preserve">통합표 번호</t>
  </si>
  <si>
    <t xml:space="preserve">근거(요구사항 분석표 ID)</t>
  </si>
  <si>
    <t xml:space="preserve">필수 기능</t>
  </si>
  <si>
    <t xml:space="preserve">① 생성형 AI 활용 기사 초안 작성</t>
  </si>
  <si>
    <t xml:space="preserve">D-1, 19, D-6</t>
  </si>
  <si>
    <t xml:space="preserve">R-01</t>
  </si>
  <si>
    <t xml:space="preserve">② 생성형 AI 활용 로우데이터 정리</t>
  </si>
  <si>
    <t xml:space="preserve">R-02</t>
  </si>
  <si>
    <t xml:space="preserve">③ 대화형 프롬프트</t>
  </si>
  <si>
    <t xml:space="preserve">R-03</t>
  </si>
  <si>
    <t xml:space="preserve">④ 피드백 및 개선 루프</t>
  </si>
  <si>
    <t xml:space="preserve">R-04</t>
  </si>
  <si>
    <t xml:space="preserve">핵심 기술</t>
  </si>
  <si>
    <t xml:space="preserve">프롬프트 엔지니어링</t>
  </si>
  <si>
    <t xml:space="preserve">R-05</t>
  </si>
  <si>
    <t xml:space="preserve">R-06</t>
  </si>
  <si>
    <t xml:space="preserve">리소스 제공을 위한 생성형 AI 활용</t>
  </si>
  <si>
    <t xml:space="preserve">R-07</t>
  </si>
  <si>
    <t xml:space="preserve">웹 크롤링 및 데이터 처리</t>
  </si>
  <si>
    <r>
      <rPr>
        <sz val="10"/>
        <rFont val="Malgun Gothic"/>
        <family val="0"/>
        <charset val="1"/>
      </rPr>
      <t xml:space="preserve">R-08 (T28~T30 </t>
    </r>
    <r>
      <rPr>
        <sz val="10"/>
        <rFont val="Noto Sans CJK SC"/>
        <family val="2"/>
      </rPr>
      <t xml:space="preserve">통과</t>
    </r>
    <r>
      <rPr>
        <sz val="10"/>
        <rFont val="Malgun Gothic"/>
        <family val="0"/>
        <charset val="1"/>
      </rPr>
      <t xml:space="preserve">, 10-14 </t>
    </r>
    <r>
      <rPr>
        <sz val="10"/>
        <rFont val="Noto Sans CJK SC"/>
        <family val="2"/>
      </rPr>
      <t xml:space="preserve">로컬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</si>
  <si>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STT(</t>
    </r>
    <r>
      <rPr>
        <sz val="10"/>
        <rFont val="Noto Sans CJK SC"/>
        <family val="2"/>
      </rPr>
      <t xml:space="preserve">음성 → 텍스트</t>
    </r>
    <r>
      <rPr>
        <sz val="10"/>
        <rFont val="Malgun Gothic"/>
        <family val="0"/>
        <charset val="1"/>
      </rPr>
      <t xml:space="preserve">)</t>
    </r>
  </si>
  <si>
    <t xml:space="preserve">I-1, N-4, N-5, N-11, N-17, N-18</t>
  </si>
  <si>
    <r>
      <rPr>
        <sz val="10"/>
        <rFont val="Malgun Gothic"/>
        <family val="0"/>
        <charset val="1"/>
      </rPr>
      <t xml:space="preserve">R-09 (10-16 Gemini </t>
    </r>
    <r>
      <rPr>
        <sz val="10"/>
        <rFont val="Noto Sans CJK SC"/>
        <family val="2"/>
      </rPr>
      <t xml:space="preserve">재시험 통과</t>
    </r>
    <r>
      <rPr>
        <sz val="10"/>
        <rFont val="Malgun Gothic"/>
        <family val="0"/>
        <charset val="1"/>
      </rPr>
      <t xml:space="preserve">. OpenAI·</t>
    </r>
    <r>
      <rPr>
        <sz val="10"/>
        <rFont val="Noto Sans CJK SC"/>
        <family val="2"/>
      </rPr>
      <t xml:space="preserve">구글 클라우드는 키가 없어 시험 전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</si>
  <si>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R-10 (10-16</t>
    </r>
    <r>
      <rPr>
        <sz val="10"/>
        <rFont val="Noto Sans CJK SC"/>
        <family val="2"/>
      </rPr>
      <t xml:space="preserve">도 한도 초과로 거절</t>
    </r>
    <r>
      <rPr>
        <sz val="10"/>
        <rFont val="Malgun Gothic"/>
        <family val="0"/>
        <charset val="1"/>
      </rPr>
      <t xml:space="preserve">. </t>
    </r>
    <r>
      <rPr>
        <sz val="10"/>
        <rFont val="Noto Sans CJK SC"/>
        <family val="2"/>
      </rPr>
      <t xml:space="preserve">결제 연결된 </t>
    </r>
    <r>
      <rPr>
        <sz val="10"/>
        <rFont val="Malgun Gothic"/>
        <family val="0"/>
        <charset val="1"/>
      </rPr>
      <t xml:space="preserve">Gemini </t>
    </r>
    <r>
      <rPr>
        <sz val="10"/>
        <rFont val="Noto Sans CJK SC"/>
        <family val="2"/>
      </rPr>
      <t xml:space="preserve">키 또는 </t>
    </r>
    <r>
      <rPr>
        <sz val="10"/>
        <rFont val="Malgun Gothic"/>
        <family val="0"/>
        <charset val="1"/>
      </rPr>
      <t xml:space="preserve">OpenAI </t>
    </r>
    <r>
      <rPr>
        <sz val="10"/>
        <rFont val="Noto Sans CJK SC"/>
        <family val="2"/>
      </rPr>
      <t xml:space="preserve">키 필요</t>
    </r>
    <r>
      <rPr>
        <sz val="10"/>
        <rFont val="Malgun Gothic"/>
        <family val="0"/>
        <charset val="1"/>
      </rPr>
      <t xml:space="preserve">)</t>
    </r>
  </si>
  <si>
    <t xml:space="preserve">제약사항</t>
  </si>
  <si>
    <t xml:space="preserve">반복적 모델 개선</t>
  </si>
  <si>
    <t xml:space="preserve">N-2, N-3, N-6, N-20</t>
  </si>
  <si>
    <t xml:space="preserve">R-11</t>
  </si>
  <si>
    <t xml:space="preserve">윤리 및 저작권</t>
  </si>
  <si>
    <t xml:space="preserve">R-12</t>
  </si>
  <si>
    <t xml:space="preserve">정보의 정확성·신뢰성</t>
  </si>
  <si>
    <r>
      <rPr>
        <sz val="10"/>
        <rFont val="Malgun Gothic"/>
        <family val="0"/>
        <charset val="1"/>
      </rPr>
      <t xml:space="preserve">R-13 (T20 </t>
    </r>
    <r>
      <rPr>
        <sz val="10"/>
        <rFont val="Noto Sans CJK SC"/>
        <family val="2"/>
      </rPr>
      <t xml:space="preserve">부분 통과</t>
    </r>
    <r>
      <rPr>
        <sz val="10"/>
        <rFont val="Malgun Gothic"/>
        <family val="0"/>
        <charset val="1"/>
      </rPr>
      <t xml:space="preserve">, 10-14)</t>
    </r>
  </si>
  <si>
    <t xml:space="preserve">보안 및 프라이버시</t>
  </si>
  <si>
    <t xml:space="preserve">I-8, N-1, N-14, N-15, N-16</t>
  </si>
  <si>
    <t xml:space="preserve">R-14</t>
  </si>
  <si>
    <t xml:space="preserve">산출물</t>
  </si>
  <si>
    <t xml:space="preserve">요구사항 분석표</t>
  </si>
  <si>
    <t xml:space="preserve">테스트 데이터셋</t>
  </si>
  <si>
    <r>
      <rPr>
        <sz val="10"/>
        <rFont val="Noto Sans CJK SC"/>
        <family val="2"/>
      </rPr>
      <t xml:space="preserve">판정 일부 기입</t>
    </r>
    <r>
      <rPr>
        <sz val="10"/>
        <rFont val="Malgun Gothic"/>
        <family val="0"/>
        <charset val="1"/>
      </rPr>
      <t xml:space="preserve">(10-08·10-14 </t>
    </r>
    <r>
      <rPr>
        <sz val="10"/>
        <rFont val="Noto Sans CJK SC"/>
        <family val="2"/>
      </rPr>
      <t xml:space="preserve">시험분</t>
    </r>
    <r>
      <rPr>
        <sz val="10"/>
        <rFont val="Malgun Gothic"/>
        <family val="0"/>
        <charset val="1"/>
      </rPr>
      <t xml:space="preserve">)</t>
    </r>
  </si>
  <si>
    <t xml:space="preserve">성능/평가 결과</t>
  </si>
  <si>
    <t xml:space="preserve">사용 현황 표는 작동함. 더 많은 기능을 써서 수치를 쌓아 보고서에 옮겨야 함</t>
  </si>
  <si>
    <t xml:space="preserve">최종 보고서</t>
  </si>
  <si>
    <t xml:space="preserve">아직 작성 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</si>
</sst>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algun Gothic"/>
      <family val="0"/>
      <charset val="1"/>
    </font>
    <font>
      <b val="true"/>
      <sz val="14"/>
      <name val="Noto Sans CJK SC"/>
      <family val="2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Malgun Gothic"/>
      <family val="0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</font>
    <font>
      <b val="true"/>
      <sz val="10"/>
      <name val="Malgun Gothic"/>
      <family val="0"/>
      <charset val="1"/>
    </font>
    <font>
      <b val="true"/>
      <sz val="10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8E6C9"/>
        <bgColor rgb="FFB2DFDB"/>
      </patternFill>
    </fill>
    <fill>
      <patternFill patternType="solid">
        <fgColor rgb="FFFFF59D"/>
        <bgColor rgb="FFFFF9C4"/>
      </patternFill>
    </fill>
    <fill>
      <patternFill patternType="solid">
        <fgColor rgb="FFFFE0B2"/>
        <bgColor rgb="FFFFF59D"/>
      </patternFill>
    </fill>
    <fill>
      <patternFill patternType="solid">
        <fgColor rgb="FFFFCDD2"/>
        <bgColor rgb="FFFFE0B2"/>
      </patternFill>
    </fill>
    <fill>
      <patternFill patternType="solid">
        <fgColor rgb="FFBBDEFB"/>
        <bgColor rgb="FFB2DFDB"/>
      </patternFill>
    </fill>
    <fill>
      <patternFill patternType="solid">
        <fgColor rgb="FFB2DFDB"/>
        <bgColor rgb="FFBBDEFB"/>
      </patternFill>
    </fill>
    <fill>
      <patternFill patternType="solid">
        <fgColor rgb="FFE1BEE7"/>
        <bgColor rgb="FFBFC7D1"/>
      </patternFill>
    </fill>
    <fill>
      <patternFill patternType="solid">
        <fgColor rgb="FFE0E0E0"/>
        <bgColor rgb="FFDCE6F1"/>
      </patternFill>
    </fill>
    <fill>
      <patternFill patternType="solid">
        <fgColor rgb="FFDCE6F1"/>
        <bgColor rgb="FFE0E0E0"/>
      </patternFill>
    </fill>
    <fill>
      <patternFill patternType="solid">
        <fgColor rgb="FFFFF9C4"/>
        <bgColor rgb="FFFFF5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D1"/>
      </left>
      <right style="thin">
        <color rgb="FFBFC7D1"/>
      </right>
      <top style="thin">
        <color rgb="FFBFC7D1"/>
      </top>
      <bottom style="thin">
        <color rgb="FFBFC7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2DFDB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1BEE7"/>
          <bgColor rgb="FF000000"/>
        </patternFill>
      </fill>
    </dxf>
    <dxf>
      <fill>
        <patternFill patternType="solid">
          <fgColor rgb="FFFFF59D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E0B2"/>
        </patternFill>
      </fill>
    </dxf>
    <dxf>
      <fill>
        <patternFill>
          <bgColor rgb="FFFFCDD2"/>
        </patternFill>
      </fill>
    </dxf>
    <dxf>
      <fill>
        <patternFill>
          <bgColor rgb="FFBBDEFB"/>
        </patternFill>
      </fill>
    </dxf>
    <dxf>
      <fill>
        <patternFill>
          <bgColor rgb="FFB2DFDB"/>
        </patternFill>
      </fill>
    </dxf>
    <dxf>
      <fill>
        <patternFill>
          <bgColor rgb="FFE1BEE7"/>
        </patternFill>
      </fill>
    </dxf>
    <dxf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D1"/>
      <rgbColor rgb="FF808080"/>
      <rgbColor rgb="FF9999FF"/>
      <rgbColor rgb="FF993366"/>
      <rgbColor rgb="FFFFF9C4"/>
      <rgbColor rgb="FFDCE6F1"/>
      <rgbColor rgb="FF660066"/>
      <rgbColor rgb="FFFF8080"/>
      <rgbColor rgb="FF0066CC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C8E6C9"/>
      <rgbColor rgb="FFFFF59D"/>
      <rgbColor rgb="FFB2DFDB"/>
      <rgbColor rgb="FFFFCDD2"/>
      <rgbColor rgb="FFE1BEE7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2"/>
    <col collapsed="false" customWidth="true" hidden="false" outlineLevel="0" max="3" min="3" style="1" width="70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true" outlineLevel="0" collapsed="false">
      <c r="A5" s="5" t="s">
        <v>5</v>
      </c>
      <c r="B5" s="6" t="n">
        <f aca="false">COUNTIF('통합 현황표'!$E$2:$E$92,A5)</f>
        <v>65</v>
      </c>
      <c r="C5" s="7" t="s">
        <v>6</v>
      </c>
    </row>
    <row r="6" customFormat="false" ht="15" hidden="false" customHeight="true" outlineLevel="0" collapsed="false">
      <c r="A6" s="8" t="s">
        <v>7</v>
      </c>
      <c r="B6" s="6" t="n">
        <f aca="false">COUNTIF('통합 현황표'!$E$2:$E$92,A6)</f>
        <v>1</v>
      </c>
      <c r="C6" s="7" t="s">
        <v>8</v>
      </c>
    </row>
    <row r="7" customFormat="false" ht="15" hidden="false" customHeight="true" outlineLevel="0" collapsed="false">
      <c r="A7" s="9" t="s">
        <v>9</v>
      </c>
      <c r="B7" s="6" t="n">
        <f aca="false">COUNTIF('통합 현황표'!$E$2:$E$92,A7)</f>
        <v>0</v>
      </c>
      <c r="C7" s="7" t="s">
        <v>10</v>
      </c>
    </row>
    <row r="8" customFormat="false" ht="15" hidden="false" customHeight="true" outlineLevel="0" collapsed="false">
      <c r="A8" s="10" t="s">
        <v>11</v>
      </c>
      <c r="B8" s="6" t="n">
        <f aca="false">COUNTIF('통합 현황표'!$E$2:$E$92,A8)</f>
        <v>0</v>
      </c>
      <c r="C8" s="7" t="s">
        <v>12</v>
      </c>
    </row>
    <row r="9" customFormat="false" ht="15" hidden="false" customHeight="true" outlineLevel="0" collapsed="false">
      <c r="A9" s="11" t="s">
        <v>13</v>
      </c>
      <c r="B9" s="6" t="n">
        <f aca="false">COUNTIF('통합 현황표'!$E$2:$E$92,A9)</f>
        <v>0</v>
      </c>
      <c r="C9" s="7" t="s">
        <v>14</v>
      </c>
    </row>
    <row r="10" customFormat="false" ht="15" hidden="false" customHeight="true" outlineLevel="0" collapsed="false">
      <c r="A10" s="12" t="s">
        <v>15</v>
      </c>
      <c r="B10" s="6" t="n">
        <f aca="false">COUNTIF('통합 현황표'!$E$2:$E$92,A10)</f>
        <v>3</v>
      </c>
      <c r="C10" s="7" t="s">
        <v>16</v>
      </c>
    </row>
    <row r="11" customFormat="false" ht="15" hidden="false" customHeight="true" outlineLevel="0" collapsed="false">
      <c r="A11" s="13" t="s">
        <v>17</v>
      </c>
      <c r="B11" s="6" t="n">
        <f aca="false">COUNTIF('통합 현황표'!$E$2:$E$92,A11)</f>
        <v>10</v>
      </c>
      <c r="C11" s="7" t="s">
        <v>18</v>
      </c>
    </row>
    <row r="12" customFormat="false" ht="15" hidden="false" customHeight="true" outlineLevel="0" collapsed="false">
      <c r="A12" s="14" t="s">
        <v>19</v>
      </c>
      <c r="B12" s="6" t="n">
        <f aca="false">COUNTIF('통합 현황표'!$E$2:$E$92,A12)</f>
        <v>1</v>
      </c>
      <c r="C12" s="7" t="s">
        <v>20</v>
      </c>
    </row>
    <row r="13" customFormat="false" ht="15" hidden="false" customHeight="true" outlineLevel="0" collapsed="false">
      <c r="A13" s="15" t="s">
        <v>21</v>
      </c>
      <c r="B13" s="6" t="n">
        <f aca="false">SUM(B5:B12)</f>
        <v>80</v>
      </c>
      <c r="C13" s="7" t="s">
        <v>22</v>
      </c>
    </row>
    <row r="15" customFormat="false" ht="15" hidden="false" customHeight="true" outlineLevel="0" collapsed="false">
      <c r="A15" s="16" t="s">
        <v>23</v>
      </c>
    </row>
    <row r="16" customFormat="false" ht="15" hidden="false" customHeight="true" outlineLevel="0" collapsed="false">
      <c r="A16" s="17" t="s">
        <v>24</v>
      </c>
      <c r="B16" s="17"/>
      <c r="C16" s="17"/>
    </row>
    <row r="17" customFormat="false" ht="15" hidden="false" customHeight="true" outlineLevel="0" collapsed="false">
      <c r="A17" s="17" t="s">
        <v>25</v>
      </c>
      <c r="B17" s="17"/>
      <c r="C17" s="17"/>
    </row>
    <row r="18" customFormat="false" ht="15" hidden="false" customHeight="true" outlineLevel="0" collapsed="false">
      <c r="A18" s="17" t="s">
        <v>26</v>
      </c>
      <c r="B18" s="17"/>
      <c r="C18" s="17"/>
    </row>
    <row r="19" customFormat="false" ht="15" hidden="false" customHeight="true" outlineLevel="0" collapsed="false">
      <c r="A19" s="17" t="s">
        <v>27</v>
      </c>
      <c r="B19" s="17"/>
      <c r="C19" s="17"/>
    </row>
    <row r="20" customFormat="false" ht="15" hidden="false" customHeight="true" outlineLevel="0" collapsed="false">
      <c r="A20" s="17" t="s">
        <v>28</v>
      </c>
      <c r="B20" s="17"/>
      <c r="C20" s="17"/>
    </row>
    <row r="21" customFormat="false" ht="15" hidden="false" customHeight="true" outlineLevel="0" collapsed="false">
      <c r="A21" s="18" t="s">
        <v>29</v>
      </c>
      <c r="B21" s="18"/>
      <c r="C21" s="18"/>
    </row>
    <row r="22" customFormat="false" ht="15" hidden="false" customHeight="true" outlineLevel="0" collapsed="false">
      <c r="A22" s="19" t="s">
        <v>30</v>
      </c>
      <c r="B22" s="19"/>
      <c r="C22" s="19"/>
    </row>
    <row r="24" customFormat="false" ht="15" hidden="false" customHeight="true" outlineLevel="0" collapsed="false">
      <c r="A24" s="16" t="s">
        <v>31</v>
      </c>
    </row>
    <row r="25" customFormat="false" ht="30" hidden="false" customHeight="true" outlineLevel="0" collapsed="false">
      <c r="A25" s="17" t="s">
        <v>32</v>
      </c>
      <c r="B25" s="17"/>
      <c r="C25" s="17"/>
    </row>
    <row r="26" customFormat="false" ht="30" hidden="false" customHeight="true" outlineLevel="0" collapsed="false">
      <c r="A26" s="17" t="s">
        <v>33</v>
      </c>
      <c r="B26" s="17"/>
      <c r="C26" s="17"/>
    </row>
    <row r="27" customFormat="false" ht="30" hidden="false" customHeight="true" outlineLevel="0" collapsed="false">
      <c r="A27" s="17" t="s">
        <v>34</v>
      </c>
      <c r="B27" s="17"/>
      <c r="C27" s="17"/>
    </row>
    <row r="28" customFormat="false" ht="30" hidden="false" customHeight="true" outlineLevel="0" collapsed="false">
      <c r="A28" s="17" t="s">
        <v>35</v>
      </c>
      <c r="B28" s="17"/>
      <c r="C28" s="17"/>
    </row>
  </sheetData>
  <mergeCells count="11">
    <mergeCell ref="A16:C16"/>
    <mergeCell ref="A17:C17"/>
    <mergeCell ref="A18:C18"/>
    <mergeCell ref="A19:C19"/>
    <mergeCell ref="A20:C20"/>
    <mergeCell ref="A21:C21"/>
    <mergeCell ref="A22:C22"/>
    <mergeCell ref="A25:C25"/>
    <mergeCell ref="A26:C26"/>
    <mergeCell ref="A27:C27"/>
    <mergeCell ref="A28:C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70"/>
    <col collapsed="false" customWidth="true" hidden="false" outlineLevel="0" max="7" min="7" style="1" width="52"/>
  </cols>
  <sheetData>
    <row r="1" customFormat="false" ht="27.75" hidden="false" customHeight="true" outlineLevel="0" collapsed="false">
      <c r="A1" s="20" t="s">
        <v>36</v>
      </c>
      <c r="B1" s="20" t="s">
        <v>37</v>
      </c>
      <c r="C1" s="20" t="s">
        <v>38</v>
      </c>
      <c r="D1" s="20" t="s">
        <v>39</v>
      </c>
      <c r="E1" s="20" t="s">
        <v>40</v>
      </c>
      <c r="F1" s="20" t="s">
        <v>41</v>
      </c>
      <c r="G1" s="20" t="s">
        <v>42</v>
      </c>
    </row>
    <row r="2" customFormat="false" ht="19.5" hidden="false" customHeight="true" outlineLevel="0" collapsed="false">
      <c r="A2" s="21" t="s">
        <v>43</v>
      </c>
      <c r="B2" s="21"/>
      <c r="C2" s="21"/>
      <c r="D2" s="21"/>
      <c r="E2" s="21"/>
      <c r="F2" s="21"/>
      <c r="G2" s="21"/>
    </row>
    <row r="3" customFormat="false" ht="15" hidden="false" customHeight="true" outlineLevel="0" collapsed="false">
      <c r="A3" s="22" t="s">
        <v>44</v>
      </c>
      <c r="B3" s="7" t="s">
        <v>45</v>
      </c>
      <c r="C3" s="7"/>
      <c r="D3" s="22" t="s">
        <v>46</v>
      </c>
      <c r="E3" s="23" t="s">
        <v>5</v>
      </c>
      <c r="F3" s="7" t="s">
        <v>47</v>
      </c>
      <c r="G3" s="7"/>
    </row>
    <row r="4" customFormat="false" ht="15" hidden="false" customHeight="true" outlineLevel="0" collapsed="false">
      <c r="A4" s="22" t="s">
        <v>48</v>
      </c>
      <c r="B4" s="7" t="s">
        <v>49</v>
      </c>
      <c r="C4" s="7"/>
      <c r="D4" s="22" t="s">
        <v>50</v>
      </c>
      <c r="E4" s="23" t="s">
        <v>5</v>
      </c>
      <c r="F4" s="7" t="s">
        <v>51</v>
      </c>
      <c r="G4" s="24"/>
    </row>
    <row r="5" customFormat="false" ht="15" hidden="false" customHeight="true" outlineLevel="0" collapsed="false">
      <c r="A5" s="22" t="s">
        <v>52</v>
      </c>
      <c r="B5" s="7" t="s">
        <v>53</v>
      </c>
      <c r="C5" s="7"/>
      <c r="D5" s="22" t="s">
        <v>50</v>
      </c>
      <c r="E5" s="23" t="s">
        <v>5</v>
      </c>
      <c r="F5" s="7" t="s">
        <v>54</v>
      </c>
      <c r="G5" s="24" t="s">
        <v>55</v>
      </c>
    </row>
    <row r="6" customFormat="false" ht="29.25" hidden="false" customHeight="true" outlineLevel="0" collapsed="false">
      <c r="A6" s="22" t="s">
        <v>56</v>
      </c>
      <c r="B6" s="7" t="s">
        <v>57</v>
      </c>
      <c r="C6" s="7"/>
      <c r="D6" s="22" t="s">
        <v>58</v>
      </c>
      <c r="E6" s="23" t="s">
        <v>5</v>
      </c>
      <c r="F6" s="7" t="s">
        <v>59</v>
      </c>
      <c r="G6" s="24" t="s">
        <v>60</v>
      </c>
    </row>
    <row r="7" customFormat="false" ht="15" hidden="false" customHeight="true" outlineLevel="0" collapsed="false">
      <c r="A7" s="22" t="s">
        <v>61</v>
      </c>
      <c r="B7" s="7" t="s">
        <v>62</v>
      </c>
      <c r="C7" s="7"/>
      <c r="D7" s="22" t="s">
        <v>46</v>
      </c>
      <c r="E7" s="23" t="s">
        <v>5</v>
      </c>
      <c r="F7" s="25" t="s">
        <v>63</v>
      </c>
      <c r="G7" s="7"/>
    </row>
    <row r="8" customFormat="false" ht="19.5" hidden="false" customHeight="true" outlineLevel="0" collapsed="false">
      <c r="A8" s="21" t="s">
        <v>64</v>
      </c>
      <c r="B8" s="21"/>
      <c r="C8" s="21"/>
      <c r="D8" s="21"/>
      <c r="E8" s="21"/>
      <c r="F8" s="21"/>
      <c r="G8" s="21"/>
    </row>
    <row r="9" customFormat="false" ht="15" hidden="false" customHeight="true" outlineLevel="0" collapsed="false">
      <c r="A9" s="22" t="s">
        <v>65</v>
      </c>
      <c r="B9" s="7" t="s">
        <v>66</v>
      </c>
      <c r="C9" s="7"/>
      <c r="D9" s="22" t="s">
        <v>67</v>
      </c>
      <c r="E9" s="23" t="s">
        <v>5</v>
      </c>
      <c r="F9" s="7" t="s">
        <v>68</v>
      </c>
      <c r="G9" s="24" t="s">
        <v>69</v>
      </c>
    </row>
    <row r="10" customFormat="false" ht="15" hidden="false" customHeight="true" outlineLevel="0" collapsed="false">
      <c r="A10" s="22" t="s">
        <v>70</v>
      </c>
      <c r="B10" s="7" t="s">
        <v>71</v>
      </c>
      <c r="C10" s="7"/>
      <c r="D10" s="22" t="s">
        <v>46</v>
      </c>
      <c r="E10" s="23" t="s">
        <v>5</v>
      </c>
      <c r="F10" s="26" t="s">
        <v>72</v>
      </c>
      <c r="G10" s="7" t="s">
        <v>73</v>
      </c>
    </row>
    <row r="11" customFormat="false" ht="15" hidden="false" customHeight="true" outlineLevel="0" collapsed="false">
      <c r="A11" s="22" t="s">
        <v>74</v>
      </c>
      <c r="B11" s="7" t="s">
        <v>75</v>
      </c>
      <c r="C11" s="7"/>
      <c r="D11" s="22" t="s">
        <v>46</v>
      </c>
      <c r="E11" s="23" t="s">
        <v>5</v>
      </c>
      <c r="F11" s="7" t="s">
        <v>76</v>
      </c>
      <c r="G11" s="7"/>
    </row>
    <row r="12" customFormat="false" ht="15" hidden="false" customHeight="true" outlineLevel="0" collapsed="false">
      <c r="A12" s="22" t="s">
        <v>77</v>
      </c>
      <c r="B12" s="7" t="s">
        <v>78</v>
      </c>
      <c r="C12" s="7"/>
      <c r="D12" s="22" t="s">
        <v>46</v>
      </c>
      <c r="E12" s="23" t="s">
        <v>5</v>
      </c>
      <c r="F12" s="7" t="s">
        <v>79</v>
      </c>
      <c r="G12" s="7"/>
    </row>
    <row r="13" customFormat="false" ht="29.25" hidden="false" customHeight="true" outlineLevel="0" collapsed="false">
      <c r="A13" s="22" t="s">
        <v>80</v>
      </c>
      <c r="B13" s="7" t="s">
        <v>81</v>
      </c>
      <c r="C13" s="7"/>
      <c r="D13" s="22" t="s">
        <v>82</v>
      </c>
      <c r="E13" s="23" t="s">
        <v>5</v>
      </c>
      <c r="F13" s="26" t="s">
        <v>83</v>
      </c>
      <c r="G13" s="7" t="s">
        <v>84</v>
      </c>
    </row>
    <row r="14" customFormat="false" ht="15" hidden="false" customHeight="true" outlineLevel="0" collapsed="false">
      <c r="A14" s="22" t="s">
        <v>85</v>
      </c>
      <c r="B14" s="7" t="s">
        <v>86</v>
      </c>
      <c r="C14" s="7"/>
      <c r="D14" s="22" t="s">
        <v>46</v>
      </c>
      <c r="E14" s="23" t="s">
        <v>5</v>
      </c>
      <c r="F14" s="7" t="s">
        <v>87</v>
      </c>
      <c r="G14" s="7"/>
    </row>
    <row r="15" customFormat="false" ht="15" hidden="false" customHeight="true" outlineLevel="0" collapsed="false">
      <c r="A15" s="22" t="s">
        <v>88</v>
      </c>
      <c r="B15" s="7" t="s">
        <v>89</v>
      </c>
      <c r="C15" s="7"/>
      <c r="D15" s="22" t="s">
        <v>46</v>
      </c>
      <c r="E15" s="23" t="s">
        <v>5</v>
      </c>
      <c r="F15" s="7" t="s">
        <v>90</v>
      </c>
      <c r="G15" s="7"/>
    </row>
    <row r="16" customFormat="false" ht="19.5" hidden="false" customHeight="true" outlineLevel="0" collapsed="false">
      <c r="A16" s="21" t="s">
        <v>91</v>
      </c>
      <c r="B16" s="21"/>
      <c r="C16" s="21"/>
      <c r="D16" s="21"/>
      <c r="E16" s="21"/>
      <c r="F16" s="21"/>
      <c r="G16" s="21"/>
    </row>
    <row r="17" customFormat="false" ht="29.25" hidden="false" customHeight="true" outlineLevel="0" collapsed="false">
      <c r="A17" s="22" t="s">
        <v>92</v>
      </c>
      <c r="B17" s="25" t="s">
        <v>93</v>
      </c>
      <c r="C17" s="7"/>
      <c r="D17" s="22" t="s">
        <v>46</v>
      </c>
      <c r="E17" s="23" t="s">
        <v>5</v>
      </c>
      <c r="F17" s="25" t="s">
        <v>94</v>
      </c>
      <c r="G17" s="24" t="s">
        <v>95</v>
      </c>
    </row>
    <row r="18" customFormat="false" ht="15" hidden="false" customHeight="true" outlineLevel="0" collapsed="false">
      <c r="A18" s="22" t="s">
        <v>96</v>
      </c>
      <c r="B18" s="25" t="s">
        <v>97</v>
      </c>
      <c r="C18" s="7"/>
      <c r="D18" s="22" t="s">
        <v>46</v>
      </c>
      <c r="E18" s="23" t="s">
        <v>5</v>
      </c>
      <c r="F18" s="7" t="s">
        <v>98</v>
      </c>
      <c r="G18" s="7"/>
    </row>
    <row r="19" customFormat="false" ht="15" hidden="false" customHeight="true" outlineLevel="0" collapsed="false">
      <c r="A19" s="22" t="s">
        <v>99</v>
      </c>
      <c r="B19" s="25" t="s">
        <v>100</v>
      </c>
      <c r="C19" s="7"/>
      <c r="D19" s="22" t="s">
        <v>46</v>
      </c>
      <c r="E19" s="23" t="s">
        <v>5</v>
      </c>
      <c r="F19" s="7" t="s">
        <v>101</v>
      </c>
      <c r="G19" s="7"/>
    </row>
    <row r="20" customFormat="false" ht="15" hidden="false" customHeight="true" outlineLevel="0" collapsed="false">
      <c r="A20" s="22" t="s">
        <v>102</v>
      </c>
      <c r="B20" s="7" t="s">
        <v>103</v>
      </c>
      <c r="C20" s="7"/>
      <c r="D20" s="22" t="s">
        <v>46</v>
      </c>
      <c r="E20" s="23" t="s">
        <v>5</v>
      </c>
      <c r="F20" s="7" t="s">
        <v>104</v>
      </c>
      <c r="G20" s="7"/>
    </row>
    <row r="21" customFormat="false" ht="15" hidden="false" customHeight="true" outlineLevel="0" collapsed="false">
      <c r="A21" s="22" t="s">
        <v>105</v>
      </c>
      <c r="B21" s="7" t="s">
        <v>106</v>
      </c>
      <c r="C21" s="7"/>
      <c r="D21" s="22" t="s">
        <v>46</v>
      </c>
      <c r="E21" s="23" t="s">
        <v>5</v>
      </c>
      <c r="F21" s="7" t="s">
        <v>107</v>
      </c>
      <c r="G21" s="7"/>
    </row>
    <row r="22" customFormat="false" ht="15" hidden="false" customHeight="true" outlineLevel="0" collapsed="false">
      <c r="A22" s="22" t="s">
        <v>108</v>
      </c>
      <c r="B22" s="25" t="s">
        <v>109</v>
      </c>
      <c r="C22" s="7"/>
      <c r="D22" s="22" t="s">
        <v>46</v>
      </c>
      <c r="E22" s="23" t="s">
        <v>5</v>
      </c>
      <c r="F22" s="7" t="s">
        <v>110</v>
      </c>
      <c r="G22" s="7"/>
    </row>
    <row r="23" customFormat="false" ht="15" hidden="false" customHeight="true" outlineLevel="0" collapsed="false">
      <c r="A23" s="22" t="s">
        <v>111</v>
      </c>
      <c r="B23" s="25" t="s">
        <v>112</v>
      </c>
      <c r="C23" s="7"/>
      <c r="D23" s="22" t="s">
        <v>46</v>
      </c>
      <c r="E23" s="23" t="s">
        <v>5</v>
      </c>
      <c r="F23" s="25" t="s">
        <v>113</v>
      </c>
      <c r="G23" s="7"/>
    </row>
    <row r="24" customFormat="false" ht="19.5" hidden="false" customHeight="true" outlineLevel="0" collapsed="false">
      <c r="A24" s="21" t="s">
        <v>114</v>
      </c>
      <c r="B24" s="21"/>
      <c r="C24" s="21"/>
      <c r="D24" s="21"/>
      <c r="E24" s="21"/>
      <c r="F24" s="21"/>
      <c r="G24" s="21"/>
    </row>
    <row r="25" customFormat="false" ht="15" hidden="false" customHeight="true" outlineLevel="0" collapsed="false">
      <c r="A25" s="22" t="s">
        <v>115</v>
      </c>
      <c r="B25" s="25" t="s">
        <v>116</v>
      </c>
      <c r="C25" s="7" t="s">
        <v>117</v>
      </c>
      <c r="D25" s="22" t="s">
        <v>46</v>
      </c>
      <c r="E25" s="23" t="s">
        <v>5</v>
      </c>
      <c r="F25" s="7" t="s">
        <v>118</v>
      </c>
      <c r="G25" s="7"/>
    </row>
    <row r="26" customFormat="false" ht="29.25" hidden="false" customHeight="true" outlineLevel="0" collapsed="false">
      <c r="A26" s="22" t="s">
        <v>119</v>
      </c>
      <c r="B26" s="7" t="s">
        <v>120</v>
      </c>
      <c r="C26" s="7" t="s">
        <v>121</v>
      </c>
      <c r="D26" s="22" t="s">
        <v>46</v>
      </c>
      <c r="E26" s="23" t="s">
        <v>5</v>
      </c>
      <c r="F26" s="7" t="s">
        <v>122</v>
      </c>
      <c r="G26" s="27" t="s">
        <v>123</v>
      </c>
    </row>
    <row r="27" customFormat="false" ht="15" hidden="false" customHeight="true" outlineLevel="0" collapsed="false">
      <c r="A27" s="22" t="s">
        <v>124</v>
      </c>
      <c r="B27" s="7" t="s">
        <v>125</v>
      </c>
      <c r="C27" s="7" t="s">
        <v>126</v>
      </c>
      <c r="D27" s="22" t="s">
        <v>46</v>
      </c>
      <c r="E27" s="23" t="s">
        <v>5</v>
      </c>
      <c r="F27" s="25" t="s">
        <v>127</v>
      </c>
      <c r="G27" s="7"/>
    </row>
    <row r="28" customFormat="false" ht="15" hidden="false" customHeight="true" outlineLevel="0" collapsed="false">
      <c r="A28" s="22" t="s">
        <v>128</v>
      </c>
      <c r="B28" s="7" t="s">
        <v>129</v>
      </c>
      <c r="C28" s="7" t="s">
        <v>130</v>
      </c>
      <c r="D28" s="22" t="s">
        <v>46</v>
      </c>
      <c r="E28" s="23" t="s">
        <v>5</v>
      </c>
      <c r="F28" s="25" t="s">
        <v>131</v>
      </c>
      <c r="G28" s="24" t="s">
        <v>132</v>
      </c>
    </row>
    <row r="29" customFormat="false" ht="15" hidden="false" customHeight="true" outlineLevel="0" collapsed="false">
      <c r="A29" s="22" t="s">
        <v>133</v>
      </c>
      <c r="B29" s="25" t="s">
        <v>134</v>
      </c>
      <c r="C29" s="7"/>
      <c r="D29" s="22" t="s">
        <v>135</v>
      </c>
      <c r="E29" s="23" t="s">
        <v>5</v>
      </c>
      <c r="F29" s="7" t="s">
        <v>136</v>
      </c>
      <c r="G29" s="7"/>
    </row>
    <row r="30" customFormat="false" ht="29.25" hidden="false" customHeight="true" outlineLevel="0" collapsed="false">
      <c r="A30" s="22" t="s">
        <v>137</v>
      </c>
      <c r="B30" s="7" t="s">
        <v>138</v>
      </c>
      <c r="C30" s="7" t="s">
        <v>139</v>
      </c>
      <c r="D30" s="22" t="s">
        <v>50</v>
      </c>
      <c r="E30" s="23" t="s">
        <v>5</v>
      </c>
      <c r="F30" s="7" t="s">
        <v>140</v>
      </c>
      <c r="G30" s="27" t="s">
        <v>141</v>
      </c>
    </row>
    <row r="31" customFormat="false" ht="15" hidden="false" customHeight="true" outlineLevel="0" collapsed="false">
      <c r="A31" s="22" t="s">
        <v>142</v>
      </c>
      <c r="B31" s="7" t="s">
        <v>143</v>
      </c>
      <c r="C31" s="7"/>
      <c r="D31" s="22" t="s">
        <v>46</v>
      </c>
      <c r="E31" s="23" t="s">
        <v>5</v>
      </c>
      <c r="F31" s="7" t="s">
        <v>144</v>
      </c>
      <c r="G31" s="7"/>
    </row>
    <row r="32" customFormat="false" ht="15" hidden="false" customHeight="true" outlineLevel="0" collapsed="false">
      <c r="A32" s="22" t="s">
        <v>145</v>
      </c>
      <c r="B32" s="25" t="s">
        <v>146</v>
      </c>
      <c r="C32" s="7"/>
      <c r="D32" s="22" t="s">
        <v>46</v>
      </c>
      <c r="E32" s="23" t="s">
        <v>5</v>
      </c>
      <c r="F32" s="25" t="s">
        <v>147</v>
      </c>
      <c r="G32" s="7" t="s">
        <v>148</v>
      </c>
    </row>
    <row r="33" customFormat="false" ht="19.5" hidden="false" customHeight="true" outlineLevel="0" collapsed="false">
      <c r="A33" s="21" t="s">
        <v>149</v>
      </c>
      <c r="B33" s="21"/>
      <c r="C33" s="21"/>
      <c r="D33" s="21"/>
      <c r="E33" s="21"/>
      <c r="F33" s="21"/>
      <c r="G33" s="21"/>
    </row>
    <row r="34" customFormat="false" ht="15" hidden="false" customHeight="true" outlineLevel="0" collapsed="false">
      <c r="A34" s="22" t="s">
        <v>150</v>
      </c>
      <c r="B34" s="7" t="s">
        <v>151</v>
      </c>
      <c r="C34" s="7"/>
      <c r="D34" s="22" t="s">
        <v>46</v>
      </c>
      <c r="E34" s="23" t="s">
        <v>5</v>
      </c>
      <c r="F34" s="7" t="s">
        <v>152</v>
      </c>
      <c r="G34" s="24"/>
    </row>
    <row r="35" customFormat="false" ht="15" hidden="false" customHeight="true" outlineLevel="0" collapsed="false">
      <c r="A35" s="22" t="s">
        <v>153</v>
      </c>
      <c r="B35" s="7" t="s">
        <v>154</v>
      </c>
      <c r="C35" s="7"/>
      <c r="D35" s="22" t="s">
        <v>46</v>
      </c>
      <c r="E35" s="23" t="s">
        <v>5</v>
      </c>
      <c r="F35" s="7" t="s">
        <v>155</v>
      </c>
      <c r="G35" s="24"/>
    </row>
    <row r="36" customFormat="false" ht="15" hidden="false" customHeight="true" outlineLevel="0" collapsed="false">
      <c r="A36" s="22" t="s">
        <v>156</v>
      </c>
      <c r="B36" s="7" t="s">
        <v>157</v>
      </c>
      <c r="C36" s="7"/>
      <c r="D36" s="22" t="s">
        <v>46</v>
      </c>
      <c r="E36" s="23" t="s">
        <v>5</v>
      </c>
      <c r="F36" s="7" t="s">
        <v>158</v>
      </c>
      <c r="G36" s="24"/>
    </row>
    <row r="37" customFormat="false" ht="15" hidden="false" customHeight="true" outlineLevel="0" collapsed="false">
      <c r="A37" s="22" t="s">
        <v>159</v>
      </c>
      <c r="B37" s="7" t="s">
        <v>160</v>
      </c>
      <c r="C37" s="7"/>
      <c r="D37" s="22" t="s">
        <v>161</v>
      </c>
      <c r="E37" s="23" t="s">
        <v>5</v>
      </c>
      <c r="F37" s="26" t="s">
        <v>162</v>
      </c>
      <c r="G37" s="7" t="s">
        <v>163</v>
      </c>
    </row>
    <row r="38" customFormat="false" ht="19.5" hidden="false" customHeight="true" outlineLevel="0" collapsed="false">
      <c r="A38" s="21" t="s">
        <v>164</v>
      </c>
      <c r="B38" s="21"/>
      <c r="C38" s="21"/>
      <c r="D38" s="21"/>
      <c r="E38" s="21"/>
      <c r="F38" s="21"/>
      <c r="G38" s="21"/>
    </row>
    <row r="39" customFormat="false" ht="15" hidden="false" customHeight="true" outlineLevel="0" collapsed="false">
      <c r="A39" s="22" t="s">
        <v>165</v>
      </c>
      <c r="B39" s="7" t="s">
        <v>166</v>
      </c>
      <c r="C39" s="7"/>
      <c r="D39" s="22" t="s">
        <v>46</v>
      </c>
      <c r="E39" s="23" t="s">
        <v>5</v>
      </c>
      <c r="F39" s="7" t="s">
        <v>167</v>
      </c>
      <c r="G39" s="7"/>
    </row>
    <row r="40" customFormat="false" ht="15" hidden="false" customHeight="true" outlineLevel="0" collapsed="false">
      <c r="A40" s="22" t="s">
        <v>168</v>
      </c>
      <c r="B40" s="7" t="s">
        <v>169</v>
      </c>
      <c r="C40" s="7"/>
      <c r="D40" s="22" t="s">
        <v>46</v>
      </c>
      <c r="E40" s="23" t="s">
        <v>5</v>
      </c>
      <c r="F40" s="7" t="s">
        <v>170</v>
      </c>
      <c r="G40" s="7"/>
    </row>
    <row r="41" customFormat="false" ht="15" hidden="false" customHeight="true" outlineLevel="0" collapsed="false">
      <c r="A41" s="22" t="s">
        <v>171</v>
      </c>
      <c r="B41" s="7" t="s">
        <v>172</v>
      </c>
      <c r="C41" s="7"/>
      <c r="D41" s="22" t="s">
        <v>46</v>
      </c>
      <c r="E41" s="23" t="s">
        <v>5</v>
      </c>
      <c r="F41" s="25" t="s">
        <v>173</v>
      </c>
      <c r="G41" s="7"/>
    </row>
    <row r="42" customFormat="false" ht="19.5" hidden="false" customHeight="true" outlineLevel="0" collapsed="false">
      <c r="A42" s="21" t="s">
        <v>174</v>
      </c>
      <c r="B42" s="21"/>
      <c r="C42" s="21"/>
      <c r="D42" s="21"/>
      <c r="E42" s="21"/>
      <c r="F42" s="21"/>
      <c r="G42" s="21"/>
    </row>
    <row r="43" customFormat="false" ht="15" hidden="false" customHeight="true" outlineLevel="0" collapsed="false">
      <c r="A43" s="22" t="s">
        <v>175</v>
      </c>
      <c r="B43" s="25" t="s">
        <v>176</v>
      </c>
      <c r="C43" s="7"/>
      <c r="D43" s="22" t="s">
        <v>161</v>
      </c>
      <c r="E43" s="23" t="s">
        <v>17</v>
      </c>
      <c r="F43" s="7" t="s">
        <v>177</v>
      </c>
      <c r="G43" s="7" t="s">
        <v>178</v>
      </c>
    </row>
    <row r="44" customFormat="false" ht="15" hidden="false" customHeight="true" outlineLevel="0" collapsed="false">
      <c r="A44" s="22" t="s">
        <v>179</v>
      </c>
      <c r="B44" s="25" t="s">
        <v>180</v>
      </c>
      <c r="C44" s="7"/>
      <c r="D44" s="22" t="s">
        <v>46</v>
      </c>
      <c r="E44" s="23" t="s">
        <v>5</v>
      </c>
      <c r="F44" s="7" t="s">
        <v>181</v>
      </c>
      <c r="G44" s="7"/>
    </row>
    <row r="45" customFormat="false" ht="15" hidden="false" customHeight="true" outlineLevel="0" collapsed="false">
      <c r="A45" s="22" t="s">
        <v>182</v>
      </c>
      <c r="B45" s="25" t="s">
        <v>183</v>
      </c>
      <c r="C45" s="7"/>
      <c r="D45" s="22" t="s">
        <v>161</v>
      </c>
      <c r="E45" s="23" t="s">
        <v>5</v>
      </c>
      <c r="F45" s="7" t="s">
        <v>184</v>
      </c>
      <c r="G45" s="7" t="s">
        <v>185</v>
      </c>
    </row>
    <row r="46" customFormat="false" ht="15" hidden="false" customHeight="true" outlineLevel="0" collapsed="false">
      <c r="A46" s="22" t="s">
        <v>186</v>
      </c>
      <c r="B46" s="7" t="s">
        <v>187</v>
      </c>
      <c r="C46" s="7"/>
      <c r="D46" s="22" t="s">
        <v>161</v>
      </c>
      <c r="E46" s="23" t="s">
        <v>5</v>
      </c>
      <c r="F46" s="7" t="s">
        <v>188</v>
      </c>
      <c r="G46" s="7" t="s">
        <v>189</v>
      </c>
    </row>
    <row r="47" customFormat="false" ht="15" hidden="false" customHeight="true" outlineLevel="0" collapsed="false">
      <c r="A47" s="22" t="s">
        <v>190</v>
      </c>
      <c r="B47" s="7" t="s">
        <v>191</v>
      </c>
      <c r="C47" s="7"/>
      <c r="D47" s="22" t="s">
        <v>46</v>
      </c>
      <c r="E47" s="23" t="s">
        <v>5</v>
      </c>
      <c r="F47" s="7" t="s">
        <v>192</v>
      </c>
      <c r="G47" s="7" t="s">
        <v>193</v>
      </c>
    </row>
    <row r="48" customFormat="false" ht="19.5" hidden="false" customHeight="true" outlineLevel="0" collapsed="false">
      <c r="A48" s="21" t="s">
        <v>194</v>
      </c>
      <c r="B48" s="21"/>
      <c r="C48" s="21"/>
      <c r="D48" s="21"/>
      <c r="E48" s="21"/>
      <c r="F48" s="21"/>
      <c r="G48" s="21"/>
    </row>
    <row r="49" customFormat="false" ht="15" hidden="false" customHeight="true" outlineLevel="0" collapsed="false">
      <c r="A49" s="22" t="s">
        <v>195</v>
      </c>
      <c r="B49" s="7" t="s">
        <v>196</v>
      </c>
      <c r="C49" s="7"/>
      <c r="D49" s="22" t="s">
        <v>161</v>
      </c>
      <c r="E49" s="23" t="s">
        <v>5</v>
      </c>
      <c r="F49" s="7" t="s">
        <v>197</v>
      </c>
      <c r="G49" s="7"/>
    </row>
    <row r="50" customFormat="false" ht="15" hidden="false" customHeight="true" outlineLevel="0" collapsed="false">
      <c r="A50" s="22" t="s">
        <v>198</v>
      </c>
      <c r="B50" s="25" t="s">
        <v>199</v>
      </c>
      <c r="C50" s="7"/>
      <c r="D50" s="22" t="s">
        <v>161</v>
      </c>
      <c r="E50" s="23" t="s">
        <v>17</v>
      </c>
      <c r="F50" s="7" t="s">
        <v>200</v>
      </c>
      <c r="G50" s="7" t="s">
        <v>201</v>
      </c>
    </row>
    <row r="51" customFormat="false" ht="15" hidden="false" customHeight="true" outlineLevel="0" collapsed="false">
      <c r="A51" s="22" t="s">
        <v>202</v>
      </c>
      <c r="B51" s="7" t="s">
        <v>203</v>
      </c>
      <c r="C51" s="7"/>
      <c r="D51" s="22" t="s">
        <v>161</v>
      </c>
      <c r="E51" s="23" t="s">
        <v>5</v>
      </c>
      <c r="F51" s="7" t="s">
        <v>204</v>
      </c>
      <c r="G51" s="7"/>
    </row>
    <row r="52" customFormat="false" ht="15" hidden="false" customHeight="true" outlineLevel="0" collapsed="false">
      <c r="A52" s="22" t="s">
        <v>205</v>
      </c>
      <c r="B52" s="7" t="s">
        <v>206</v>
      </c>
      <c r="C52" s="7"/>
      <c r="D52" s="22" t="s">
        <v>161</v>
      </c>
      <c r="E52" s="23" t="s">
        <v>5</v>
      </c>
      <c r="F52" s="7" t="s">
        <v>207</v>
      </c>
      <c r="G52" s="7"/>
    </row>
    <row r="53" customFormat="false" ht="15" hidden="false" customHeight="true" outlineLevel="0" collapsed="false">
      <c r="A53" s="22" t="s">
        <v>208</v>
      </c>
      <c r="B53" s="7" t="s">
        <v>209</v>
      </c>
      <c r="C53" s="7"/>
      <c r="D53" s="22" t="s">
        <v>161</v>
      </c>
      <c r="E53" s="23" t="s">
        <v>17</v>
      </c>
      <c r="F53" s="7" t="s">
        <v>210</v>
      </c>
      <c r="G53" s="7" t="s">
        <v>201</v>
      </c>
    </row>
    <row r="54" customFormat="false" ht="15" hidden="false" customHeight="true" outlineLevel="0" collapsed="false">
      <c r="A54" s="22" t="s">
        <v>211</v>
      </c>
      <c r="B54" s="7" t="s">
        <v>212</v>
      </c>
      <c r="C54" s="7"/>
      <c r="D54" s="22" t="s">
        <v>161</v>
      </c>
      <c r="E54" s="23" t="s">
        <v>5</v>
      </c>
      <c r="F54" s="7" t="s">
        <v>213</v>
      </c>
      <c r="G54" s="7"/>
    </row>
    <row r="55" customFormat="false" ht="15" hidden="false" customHeight="true" outlineLevel="0" collapsed="false">
      <c r="A55" s="22" t="s">
        <v>214</v>
      </c>
      <c r="B55" s="7" t="s">
        <v>215</v>
      </c>
      <c r="C55" s="7"/>
      <c r="D55" s="22" t="s">
        <v>161</v>
      </c>
      <c r="E55" s="23" t="s">
        <v>5</v>
      </c>
      <c r="F55" s="26" t="s">
        <v>216</v>
      </c>
      <c r="G55" s="7" t="s">
        <v>217</v>
      </c>
    </row>
    <row r="56" customFormat="false" ht="15" hidden="false" customHeight="true" outlineLevel="0" collapsed="false">
      <c r="A56" s="22" t="s">
        <v>218</v>
      </c>
      <c r="B56" s="7" t="s">
        <v>219</v>
      </c>
      <c r="C56" s="7"/>
      <c r="D56" s="22" t="s">
        <v>161</v>
      </c>
      <c r="E56" s="23" t="s">
        <v>17</v>
      </c>
      <c r="F56" s="7" t="s">
        <v>220</v>
      </c>
      <c r="G56" s="7" t="s">
        <v>221</v>
      </c>
    </row>
    <row r="57" customFormat="false" ht="15" hidden="false" customHeight="true" outlineLevel="0" collapsed="false">
      <c r="A57" s="22" t="s">
        <v>222</v>
      </c>
      <c r="B57" s="7" t="s">
        <v>223</v>
      </c>
      <c r="C57" s="7"/>
      <c r="D57" s="22" t="s">
        <v>161</v>
      </c>
      <c r="E57" s="23" t="s">
        <v>5</v>
      </c>
      <c r="F57" s="7" t="s">
        <v>224</v>
      </c>
      <c r="G57" s="7" t="s">
        <v>225</v>
      </c>
    </row>
    <row r="58" customFormat="false" ht="19.5" hidden="false" customHeight="true" outlineLevel="0" collapsed="false">
      <c r="A58" s="21" t="s">
        <v>226</v>
      </c>
      <c r="B58" s="21"/>
      <c r="C58" s="21"/>
      <c r="D58" s="21"/>
      <c r="E58" s="21"/>
      <c r="F58" s="21"/>
      <c r="G58" s="21"/>
    </row>
    <row r="59" customFormat="false" ht="15" hidden="false" customHeight="true" outlineLevel="0" collapsed="false">
      <c r="A59" s="22" t="s">
        <v>227</v>
      </c>
      <c r="B59" s="25" t="s">
        <v>228</v>
      </c>
      <c r="C59" s="7"/>
      <c r="D59" s="22" t="s">
        <v>46</v>
      </c>
      <c r="E59" s="23" t="s">
        <v>5</v>
      </c>
      <c r="F59" s="25" t="s">
        <v>229</v>
      </c>
      <c r="G59" s="7"/>
    </row>
    <row r="60" customFormat="false" ht="57.75" hidden="false" customHeight="true" outlineLevel="0" collapsed="false">
      <c r="A60" s="22" t="s">
        <v>230</v>
      </c>
      <c r="B60" s="25" t="s">
        <v>231</v>
      </c>
      <c r="C60" s="7" t="s">
        <v>232</v>
      </c>
      <c r="D60" s="22" t="s">
        <v>58</v>
      </c>
      <c r="E60" s="23" t="s">
        <v>5</v>
      </c>
      <c r="F60" s="7" t="s">
        <v>233</v>
      </c>
      <c r="G60" s="27" t="s">
        <v>234</v>
      </c>
    </row>
    <row r="61" customFormat="false" ht="57.75" hidden="false" customHeight="true" outlineLevel="0" collapsed="false">
      <c r="A61" s="22" t="s">
        <v>235</v>
      </c>
      <c r="B61" s="7" t="s">
        <v>236</v>
      </c>
      <c r="C61" s="7" t="s">
        <v>237</v>
      </c>
      <c r="D61" s="22" t="s">
        <v>58</v>
      </c>
      <c r="E61" s="23" t="s">
        <v>5</v>
      </c>
      <c r="F61" s="7" t="s">
        <v>238</v>
      </c>
      <c r="G61" s="24" t="s">
        <v>239</v>
      </c>
    </row>
    <row r="62" customFormat="false" ht="29.25" hidden="false" customHeight="true" outlineLevel="0" collapsed="false">
      <c r="A62" s="22" t="s">
        <v>240</v>
      </c>
      <c r="B62" s="7" t="s">
        <v>241</v>
      </c>
      <c r="C62" s="7" t="s">
        <v>242</v>
      </c>
      <c r="D62" s="22" t="s">
        <v>243</v>
      </c>
      <c r="E62" s="23" t="s">
        <v>5</v>
      </c>
      <c r="F62" s="7" t="s">
        <v>244</v>
      </c>
      <c r="G62" s="24" t="s">
        <v>245</v>
      </c>
    </row>
    <row r="63" customFormat="false" ht="29.25" hidden="false" customHeight="true" outlineLevel="0" collapsed="false">
      <c r="A63" s="22" t="s">
        <v>246</v>
      </c>
      <c r="B63" s="7" t="s">
        <v>247</v>
      </c>
      <c r="C63" s="7" t="s">
        <v>248</v>
      </c>
      <c r="D63" s="22" t="s">
        <v>249</v>
      </c>
      <c r="E63" s="23" t="s">
        <v>15</v>
      </c>
      <c r="F63" s="25" t="s">
        <v>250</v>
      </c>
      <c r="G63" s="7"/>
    </row>
    <row r="64" customFormat="false" ht="15" hidden="false" customHeight="true" outlineLevel="0" collapsed="false">
      <c r="A64" s="22" t="s">
        <v>251</v>
      </c>
      <c r="B64" s="7" t="s">
        <v>252</v>
      </c>
      <c r="C64" s="7"/>
      <c r="D64" s="22" t="s">
        <v>249</v>
      </c>
      <c r="E64" s="23" t="s">
        <v>15</v>
      </c>
      <c r="F64" s="7" t="s">
        <v>253</v>
      </c>
      <c r="G64" s="7"/>
    </row>
    <row r="65" customFormat="false" ht="43.5" hidden="false" customHeight="true" outlineLevel="0" collapsed="false">
      <c r="A65" s="22" t="s">
        <v>254</v>
      </c>
      <c r="B65" s="7" t="s">
        <v>255</v>
      </c>
      <c r="C65" s="7" t="s">
        <v>256</v>
      </c>
      <c r="D65" s="22" t="s">
        <v>243</v>
      </c>
      <c r="E65" s="23" t="s">
        <v>5</v>
      </c>
      <c r="F65" s="7" t="s">
        <v>257</v>
      </c>
      <c r="G65" s="28" t="s">
        <v>258</v>
      </c>
    </row>
    <row r="66" customFormat="false" ht="29.25" hidden="false" customHeight="true" outlineLevel="0" collapsed="false">
      <c r="A66" s="22" t="s">
        <v>259</v>
      </c>
      <c r="B66" s="7" t="s">
        <v>260</v>
      </c>
      <c r="C66" s="7" t="s">
        <v>261</v>
      </c>
      <c r="D66" s="22" t="s">
        <v>243</v>
      </c>
      <c r="E66" s="23" t="s">
        <v>17</v>
      </c>
      <c r="F66" s="7" t="s">
        <v>262</v>
      </c>
      <c r="G66" s="7" t="s">
        <v>263</v>
      </c>
    </row>
    <row r="67" customFormat="false" ht="29.25" hidden="false" customHeight="true" outlineLevel="0" collapsed="false">
      <c r="A67" s="22" t="s">
        <v>264</v>
      </c>
      <c r="B67" s="7" t="s">
        <v>265</v>
      </c>
      <c r="C67" s="7" t="s">
        <v>266</v>
      </c>
      <c r="D67" s="22" t="s">
        <v>249</v>
      </c>
      <c r="E67" s="23" t="s">
        <v>15</v>
      </c>
      <c r="F67" s="25" t="s">
        <v>267</v>
      </c>
      <c r="G67" s="7"/>
    </row>
    <row r="68" customFormat="false" ht="19.5" hidden="false" customHeight="true" outlineLevel="0" collapsed="false">
      <c r="A68" s="21" t="s">
        <v>268</v>
      </c>
      <c r="B68" s="21"/>
      <c r="C68" s="21"/>
      <c r="D68" s="21"/>
      <c r="E68" s="21"/>
      <c r="F68" s="21"/>
      <c r="G68" s="21"/>
    </row>
    <row r="69" customFormat="false" ht="43.5" hidden="false" customHeight="true" outlineLevel="0" collapsed="false">
      <c r="A69" s="22" t="s">
        <v>269</v>
      </c>
      <c r="B69" s="7" t="s">
        <v>270</v>
      </c>
      <c r="C69" s="7" t="s">
        <v>266</v>
      </c>
      <c r="D69" s="22" t="s">
        <v>271</v>
      </c>
      <c r="E69" s="23" t="s">
        <v>5</v>
      </c>
      <c r="F69" s="7" t="s">
        <v>272</v>
      </c>
      <c r="G69" s="24" t="s">
        <v>273</v>
      </c>
    </row>
    <row r="70" customFormat="false" ht="15" hidden="false" customHeight="true" outlineLevel="0" collapsed="false">
      <c r="A70" s="22" t="s">
        <v>274</v>
      </c>
      <c r="B70" s="25" t="s">
        <v>275</v>
      </c>
      <c r="C70" s="7" t="s">
        <v>276</v>
      </c>
      <c r="D70" s="22" t="s">
        <v>271</v>
      </c>
      <c r="E70" s="23" t="s">
        <v>17</v>
      </c>
      <c r="F70" s="25" t="s">
        <v>277</v>
      </c>
      <c r="G70" s="24" t="s">
        <v>278</v>
      </c>
    </row>
    <row r="71" customFormat="false" ht="29.25" hidden="false" customHeight="true" outlineLevel="0" collapsed="false">
      <c r="A71" s="22" t="s">
        <v>279</v>
      </c>
      <c r="B71" s="25" t="s">
        <v>280</v>
      </c>
      <c r="C71" s="7" t="s">
        <v>276</v>
      </c>
      <c r="D71" s="22" t="s">
        <v>271</v>
      </c>
      <c r="E71" s="23" t="s">
        <v>5</v>
      </c>
      <c r="F71" s="7" t="s">
        <v>281</v>
      </c>
      <c r="G71" s="7"/>
    </row>
    <row r="72" customFormat="false" ht="41.25" hidden="false" customHeight="true" outlineLevel="0" collapsed="false">
      <c r="A72" s="22" t="s">
        <v>282</v>
      </c>
      <c r="B72" s="7" t="s">
        <v>283</v>
      </c>
      <c r="C72" s="7" t="s">
        <v>284</v>
      </c>
      <c r="D72" s="22" t="s">
        <v>271</v>
      </c>
      <c r="E72" s="23" t="s">
        <v>5</v>
      </c>
      <c r="F72" s="7" t="s">
        <v>285</v>
      </c>
      <c r="G72" s="24" t="s">
        <v>286</v>
      </c>
    </row>
    <row r="73" customFormat="false" ht="43.5" hidden="false" customHeight="true" outlineLevel="0" collapsed="false">
      <c r="A73" s="22" t="s">
        <v>287</v>
      </c>
      <c r="B73" s="7" t="s">
        <v>288</v>
      </c>
      <c r="C73" s="7" t="s">
        <v>284</v>
      </c>
      <c r="D73" s="22" t="s">
        <v>271</v>
      </c>
      <c r="E73" s="23" t="s">
        <v>17</v>
      </c>
      <c r="F73" s="7" t="s">
        <v>289</v>
      </c>
      <c r="G73" s="24" t="s">
        <v>290</v>
      </c>
    </row>
    <row r="74" customFormat="false" ht="43.5" hidden="false" customHeight="true" outlineLevel="0" collapsed="false">
      <c r="A74" s="22" t="s">
        <v>291</v>
      </c>
      <c r="B74" s="25" t="s">
        <v>292</v>
      </c>
      <c r="C74" s="7" t="s">
        <v>293</v>
      </c>
      <c r="D74" s="22" t="s">
        <v>271</v>
      </c>
      <c r="E74" s="23" t="s">
        <v>5</v>
      </c>
      <c r="F74" s="7" t="s">
        <v>294</v>
      </c>
      <c r="G74" s="24" t="s">
        <v>295</v>
      </c>
    </row>
    <row r="75" customFormat="false" ht="29.25" hidden="false" customHeight="true" outlineLevel="0" collapsed="false">
      <c r="A75" s="22" t="s">
        <v>296</v>
      </c>
      <c r="B75" s="7" t="s">
        <v>297</v>
      </c>
      <c r="C75" s="7" t="s">
        <v>298</v>
      </c>
      <c r="D75" s="22" t="s">
        <v>271</v>
      </c>
      <c r="E75" s="23" t="s">
        <v>5</v>
      </c>
      <c r="F75" s="25" t="s">
        <v>299</v>
      </c>
      <c r="G75" s="24" t="s">
        <v>300</v>
      </c>
    </row>
    <row r="76" customFormat="false" ht="29.25" hidden="false" customHeight="true" outlineLevel="0" collapsed="false">
      <c r="A76" s="22" t="s">
        <v>301</v>
      </c>
      <c r="B76" s="7" t="s">
        <v>302</v>
      </c>
      <c r="C76" s="7" t="s">
        <v>303</v>
      </c>
      <c r="D76" s="22" t="s">
        <v>271</v>
      </c>
      <c r="E76" s="23" t="s">
        <v>5</v>
      </c>
      <c r="F76" s="7" t="s">
        <v>304</v>
      </c>
      <c r="G76" s="24" t="s">
        <v>305</v>
      </c>
    </row>
    <row r="77" customFormat="false" ht="29.25" hidden="false" customHeight="true" outlineLevel="0" collapsed="false">
      <c r="A77" s="22" t="s">
        <v>306</v>
      </c>
      <c r="B77" s="7" t="s">
        <v>307</v>
      </c>
      <c r="C77" s="7"/>
      <c r="D77" s="22" t="s">
        <v>271</v>
      </c>
      <c r="E77" s="23" t="s">
        <v>5</v>
      </c>
      <c r="F77" s="7" t="s">
        <v>308</v>
      </c>
      <c r="G77" s="24" t="s">
        <v>309</v>
      </c>
    </row>
    <row r="78" customFormat="false" ht="15" hidden="false" customHeight="true" outlineLevel="0" collapsed="false">
      <c r="A78" s="22" t="s">
        <v>310</v>
      </c>
      <c r="B78" s="7" t="s">
        <v>311</v>
      </c>
      <c r="C78" s="7" t="s">
        <v>312</v>
      </c>
      <c r="D78" s="22" t="s">
        <v>271</v>
      </c>
      <c r="E78" s="23" t="s">
        <v>19</v>
      </c>
      <c r="F78" s="7" t="s">
        <v>313</v>
      </c>
      <c r="G78" s="24" t="s">
        <v>314</v>
      </c>
    </row>
    <row r="79" customFormat="false" ht="29.25" hidden="false" customHeight="true" outlineLevel="0" collapsed="false">
      <c r="A79" s="22" t="s">
        <v>315</v>
      </c>
      <c r="B79" s="25" t="s">
        <v>316</v>
      </c>
      <c r="C79" s="7" t="s">
        <v>284</v>
      </c>
      <c r="D79" s="22" t="s">
        <v>271</v>
      </c>
      <c r="E79" s="23" t="s">
        <v>17</v>
      </c>
      <c r="F79" s="7" t="s">
        <v>317</v>
      </c>
      <c r="G79" s="24" t="s">
        <v>318</v>
      </c>
    </row>
    <row r="80" customFormat="false" ht="29.25" hidden="false" customHeight="true" outlineLevel="0" collapsed="false">
      <c r="A80" s="22" t="s">
        <v>319</v>
      </c>
      <c r="B80" s="7" t="s">
        <v>320</v>
      </c>
      <c r="C80" s="7" t="s">
        <v>266</v>
      </c>
      <c r="D80" s="22" t="s">
        <v>271</v>
      </c>
      <c r="E80" s="23" t="s">
        <v>5</v>
      </c>
      <c r="F80" s="7" t="s">
        <v>321</v>
      </c>
      <c r="G80" s="24" t="s">
        <v>322</v>
      </c>
    </row>
    <row r="81" customFormat="false" ht="29.25" hidden="false" customHeight="true" outlineLevel="0" collapsed="false">
      <c r="A81" s="22" t="s">
        <v>323</v>
      </c>
      <c r="B81" s="7" t="s">
        <v>324</v>
      </c>
      <c r="C81" s="7" t="s">
        <v>325</v>
      </c>
      <c r="D81" s="22" t="s">
        <v>271</v>
      </c>
      <c r="E81" s="23" t="s">
        <v>5</v>
      </c>
      <c r="F81" s="7" t="s">
        <v>326</v>
      </c>
      <c r="G81" s="24" t="s">
        <v>327</v>
      </c>
    </row>
    <row r="82" customFormat="false" ht="19.5" hidden="false" customHeight="true" outlineLevel="0" collapsed="false">
      <c r="A82" s="21" t="s">
        <v>328</v>
      </c>
      <c r="B82" s="21"/>
      <c r="C82" s="21"/>
      <c r="D82" s="21"/>
      <c r="E82" s="21"/>
      <c r="F82" s="21"/>
      <c r="G82" s="21"/>
    </row>
    <row r="83" customFormat="false" ht="29.25" hidden="false" customHeight="true" outlineLevel="0" collapsed="false">
      <c r="A83" s="22" t="s">
        <v>329</v>
      </c>
      <c r="B83" s="7" t="s">
        <v>330</v>
      </c>
      <c r="C83" s="7" t="s">
        <v>266</v>
      </c>
      <c r="D83" s="22" t="s">
        <v>271</v>
      </c>
      <c r="E83" s="23" t="s">
        <v>5</v>
      </c>
      <c r="F83" s="7" t="s">
        <v>331</v>
      </c>
      <c r="G83" s="24" t="s">
        <v>332</v>
      </c>
    </row>
    <row r="84" customFormat="false" ht="29.25" hidden="false" customHeight="true" outlineLevel="0" collapsed="false">
      <c r="A84" s="22" t="s">
        <v>333</v>
      </c>
      <c r="B84" s="7" t="s">
        <v>334</v>
      </c>
      <c r="C84" s="7" t="s">
        <v>266</v>
      </c>
      <c r="D84" s="22" t="s">
        <v>271</v>
      </c>
      <c r="E84" s="23" t="s">
        <v>5</v>
      </c>
      <c r="F84" s="7" t="s">
        <v>335</v>
      </c>
      <c r="G84" s="24" t="s">
        <v>336</v>
      </c>
    </row>
    <row r="85" customFormat="false" ht="29.25" hidden="false" customHeight="true" outlineLevel="0" collapsed="false">
      <c r="A85" s="22" t="s">
        <v>337</v>
      </c>
      <c r="B85" s="7" t="s">
        <v>338</v>
      </c>
      <c r="C85" s="7" t="s">
        <v>266</v>
      </c>
      <c r="D85" s="22" t="s">
        <v>271</v>
      </c>
      <c r="E85" s="23" t="s">
        <v>17</v>
      </c>
      <c r="F85" s="7" t="s">
        <v>339</v>
      </c>
      <c r="G85" s="24" t="s">
        <v>340</v>
      </c>
    </row>
    <row r="86" customFormat="false" ht="29.25" hidden="false" customHeight="true" outlineLevel="0" collapsed="false">
      <c r="A86" s="22" t="s">
        <v>341</v>
      </c>
      <c r="B86" s="7" t="s">
        <v>342</v>
      </c>
      <c r="C86" s="7" t="s">
        <v>284</v>
      </c>
      <c r="D86" s="22" t="s">
        <v>271</v>
      </c>
      <c r="E86" s="23" t="s">
        <v>5</v>
      </c>
      <c r="F86" s="7" t="s">
        <v>343</v>
      </c>
      <c r="G86" s="24" t="s">
        <v>344</v>
      </c>
    </row>
    <row r="87" customFormat="false" ht="29.25" hidden="false" customHeight="true" outlineLevel="0" collapsed="false">
      <c r="A87" s="22" t="s">
        <v>345</v>
      </c>
      <c r="B87" s="7" t="s">
        <v>346</v>
      </c>
      <c r="C87" s="7" t="s">
        <v>284</v>
      </c>
      <c r="D87" s="22" t="s">
        <v>271</v>
      </c>
      <c r="E87" s="23" t="s">
        <v>5</v>
      </c>
      <c r="F87" s="7" t="s">
        <v>347</v>
      </c>
      <c r="G87" s="24" t="s">
        <v>348</v>
      </c>
    </row>
    <row r="88" customFormat="false" ht="29.25" hidden="false" customHeight="true" outlineLevel="0" collapsed="false">
      <c r="A88" s="22" t="s">
        <v>349</v>
      </c>
      <c r="B88" s="7" t="s">
        <v>350</v>
      </c>
      <c r="C88" s="7" t="s">
        <v>298</v>
      </c>
      <c r="D88" s="22" t="s">
        <v>271</v>
      </c>
      <c r="E88" s="23" t="s">
        <v>17</v>
      </c>
      <c r="F88" s="7" t="s">
        <v>351</v>
      </c>
      <c r="G88" s="24" t="s">
        <v>352</v>
      </c>
    </row>
    <row r="89" customFormat="false" ht="29.25" hidden="false" customHeight="true" outlineLevel="0" collapsed="false">
      <c r="A89" s="22" t="s">
        <v>353</v>
      </c>
      <c r="B89" s="7" t="s">
        <v>354</v>
      </c>
      <c r="C89" s="7" t="s">
        <v>276</v>
      </c>
      <c r="D89" s="22" t="s">
        <v>271</v>
      </c>
      <c r="E89" s="23" t="s">
        <v>5</v>
      </c>
      <c r="F89" s="7" t="s">
        <v>355</v>
      </c>
      <c r="G89" s="24" t="s">
        <v>356</v>
      </c>
    </row>
    <row r="90" customFormat="false" ht="29.25" hidden="false" customHeight="true" outlineLevel="0" collapsed="false">
      <c r="A90" s="22" t="s">
        <v>357</v>
      </c>
      <c r="B90" s="7" t="s">
        <v>358</v>
      </c>
      <c r="C90" s="7"/>
      <c r="D90" s="22" t="s">
        <v>271</v>
      </c>
      <c r="E90" s="23" t="s">
        <v>5</v>
      </c>
      <c r="F90" s="7" t="s">
        <v>359</v>
      </c>
      <c r="G90" s="24" t="s">
        <v>360</v>
      </c>
    </row>
    <row r="91" customFormat="false" ht="29.25" hidden="false" customHeight="true" outlineLevel="0" collapsed="false">
      <c r="A91" s="22" t="s">
        <v>361</v>
      </c>
      <c r="B91" s="7" t="s">
        <v>362</v>
      </c>
      <c r="C91" s="7"/>
      <c r="D91" s="22" t="s">
        <v>271</v>
      </c>
      <c r="E91" s="23" t="s">
        <v>7</v>
      </c>
      <c r="F91" s="7" t="s">
        <v>363</v>
      </c>
      <c r="G91" s="24" t="s">
        <v>364</v>
      </c>
    </row>
    <row r="92" customFormat="false" ht="29.25" hidden="false" customHeight="true" outlineLevel="0" collapsed="false">
      <c r="A92" s="22" t="s">
        <v>365</v>
      </c>
      <c r="B92" s="7" t="s">
        <v>366</v>
      </c>
      <c r="C92" s="7" t="s">
        <v>276</v>
      </c>
      <c r="D92" s="22" t="s">
        <v>271</v>
      </c>
      <c r="E92" s="23" t="s">
        <v>5</v>
      </c>
      <c r="F92" s="7" t="s">
        <v>367</v>
      </c>
      <c r="G92" s="24" t="s">
        <v>368</v>
      </c>
    </row>
  </sheetData>
  <autoFilter ref="A1:G92"/>
  <mergeCells count="11">
    <mergeCell ref="A2:G2"/>
    <mergeCell ref="A8:G8"/>
    <mergeCell ref="A16:G16"/>
    <mergeCell ref="A24:G24"/>
    <mergeCell ref="A33:G33"/>
    <mergeCell ref="A38:G38"/>
    <mergeCell ref="A42:G42"/>
    <mergeCell ref="A48:G48"/>
    <mergeCell ref="A58:G58"/>
    <mergeCell ref="A68:G68"/>
    <mergeCell ref="A82:G82"/>
  </mergeCells>
  <conditionalFormatting sqref="E2:E92">
    <cfRule type="expression" priority="2" aboveAverage="0" equalAverage="0" bottom="0" percent="0" rank="0" text="" dxfId="11">
      <formula>$E2="✅ 완료"</formula>
    </cfRule>
    <cfRule type="expression" priority="3" aboveAverage="0" equalAverage="0" bottom="0" percent="0" rank="0" text="" dxfId="12">
      <formula>$E2="🟡 보완중"</formula>
    </cfRule>
    <cfRule type="expression" priority="4" aboveAverage="0" equalAverage="0" bottom="0" percent="0" rank="0" text="" dxfId="13">
      <formula>$E2="🟠 추가정립필요"</formula>
    </cfRule>
    <cfRule type="expression" priority="5" aboveAverage="0" equalAverage="0" bottom="0" percent="0" rank="0" text="" dxfId="14">
      <formula>$E2="🔴 복구/긴급필요"</formula>
    </cfRule>
    <cfRule type="expression" priority="6" aboveAverage="0" equalAverage="0" bottom="0" percent="0" rank="0" text="" dxfId="15">
      <formula>$E2="🔵 구현예정"</formula>
    </cfRule>
    <cfRule type="expression" priority="7" aboveAverage="0" equalAverage="0" bottom="0" percent="0" rank="0" text="" dxfId="16">
      <formula>$E2="🟢 강점"</formula>
    </cfRule>
    <cfRule type="expression" priority="8" aboveAverage="0" equalAverage="0" bottom="0" percent="0" rank="0" text="" dxfId="17">
      <formula>$E2="🧪 구현·시험전"</formula>
    </cfRule>
    <cfRule type="expression" priority="9" aboveAverage="0" equalAverage="0" bottom="0" percent="0" rank="0" text="" dxfId="18">
      <formula>$E2="⚪ 하지 않기로 함"</formula>
    </cfRule>
  </conditionalFormatting>
  <dataValidations count="1">
    <dataValidation allowBlank="true" errorStyle="stop" operator="between" showDropDown="false" showErrorMessage="false" showInputMessage="false" sqref="E2:E92" type="list">
      <formula1>"✅ 완료,🟡 보완중,🟠 추가정립필요,🔴 복구/긴급필요,🔵 구현예정,🟢 강점,🧪 구현·시험전,⚪ 하지 않기로 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52"/>
  </cols>
  <sheetData>
    <row r="1" customFormat="false" ht="15" hidden="false" customHeight="true" outlineLevel="0" collapsed="false">
      <c r="A1" s="29" t="s">
        <v>369</v>
      </c>
      <c r="B1" s="29" t="s">
        <v>370</v>
      </c>
      <c r="C1" s="29" t="s">
        <v>371</v>
      </c>
      <c r="D1" s="29" t="s">
        <v>2</v>
      </c>
      <c r="E1" s="29" t="s">
        <v>372</v>
      </c>
    </row>
    <row r="2" customFormat="false" ht="15" hidden="false" customHeight="true" outlineLevel="0" collapsed="false">
      <c r="A2" s="7" t="s">
        <v>373</v>
      </c>
      <c r="B2" s="7" t="s">
        <v>374</v>
      </c>
      <c r="C2" s="25" t="s">
        <v>375</v>
      </c>
      <c r="D2" s="23" t="s">
        <v>5</v>
      </c>
      <c r="E2" s="25" t="s">
        <v>376</v>
      </c>
    </row>
    <row r="3" customFormat="false" ht="15" hidden="false" customHeight="true" outlineLevel="0" collapsed="false">
      <c r="A3" s="7" t="s">
        <v>373</v>
      </c>
      <c r="B3" s="7" t="s">
        <v>377</v>
      </c>
      <c r="C3" s="25" t="s">
        <v>119</v>
      </c>
      <c r="D3" s="23" t="s">
        <v>5</v>
      </c>
      <c r="E3" s="25" t="s">
        <v>378</v>
      </c>
    </row>
    <row r="4" customFormat="false" ht="15" hidden="false" customHeight="true" outlineLevel="0" collapsed="false">
      <c r="A4" s="7" t="s">
        <v>373</v>
      </c>
      <c r="B4" s="7" t="s">
        <v>379</v>
      </c>
      <c r="C4" s="25" t="s">
        <v>124</v>
      </c>
      <c r="D4" s="23" t="s">
        <v>5</v>
      </c>
      <c r="E4" s="25" t="s">
        <v>380</v>
      </c>
    </row>
    <row r="5" customFormat="false" ht="15" hidden="false" customHeight="true" outlineLevel="0" collapsed="false">
      <c r="A5" s="7" t="s">
        <v>373</v>
      </c>
      <c r="B5" s="7" t="s">
        <v>381</v>
      </c>
      <c r="C5" s="25" t="s">
        <v>128</v>
      </c>
      <c r="D5" s="23" t="s">
        <v>5</v>
      </c>
      <c r="E5" s="25" t="s">
        <v>382</v>
      </c>
    </row>
    <row r="6" customFormat="false" ht="15" hidden="false" customHeight="true" outlineLevel="0" collapsed="false">
      <c r="A6" s="7" t="s">
        <v>383</v>
      </c>
      <c r="B6" s="7" t="s">
        <v>384</v>
      </c>
      <c r="C6" s="25" t="s">
        <v>137</v>
      </c>
      <c r="D6" s="23" t="s">
        <v>5</v>
      </c>
      <c r="E6" s="25" t="s">
        <v>385</v>
      </c>
    </row>
    <row r="7" customFormat="false" ht="15" hidden="false" customHeight="true" outlineLevel="0" collapsed="false">
      <c r="A7" s="7" t="s">
        <v>383</v>
      </c>
      <c r="B7" s="7" t="s">
        <v>247</v>
      </c>
      <c r="C7" s="25" t="s">
        <v>246</v>
      </c>
      <c r="D7" s="23" t="s">
        <v>15</v>
      </c>
      <c r="E7" s="25" t="s">
        <v>386</v>
      </c>
    </row>
    <row r="8" customFormat="false" ht="15" hidden="false" customHeight="true" outlineLevel="0" collapsed="false">
      <c r="A8" s="7" t="s">
        <v>383</v>
      </c>
      <c r="B8" s="7" t="s">
        <v>387</v>
      </c>
      <c r="C8" s="25" t="s">
        <v>235</v>
      </c>
      <c r="D8" s="23" t="s">
        <v>17</v>
      </c>
      <c r="E8" s="25" t="s">
        <v>388</v>
      </c>
    </row>
    <row r="9" customFormat="false" ht="15" hidden="false" customHeight="true" outlineLevel="0" collapsed="false">
      <c r="A9" s="7" t="s">
        <v>383</v>
      </c>
      <c r="B9" s="7" t="s">
        <v>389</v>
      </c>
      <c r="C9" s="25" t="s">
        <v>240</v>
      </c>
      <c r="D9" s="23" t="s">
        <v>5</v>
      </c>
      <c r="E9" s="25" t="s">
        <v>390</v>
      </c>
    </row>
    <row r="10" customFormat="false" ht="15" hidden="false" customHeight="true" outlineLevel="0" collapsed="false">
      <c r="A10" s="7" t="s">
        <v>383</v>
      </c>
      <c r="B10" s="25" t="s">
        <v>391</v>
      </c>
      <c r="C10" s="25" t="s">
        <v>392</v>
      </c>
      <c r="D10" s="23" t="s">
        <v>5</v>
      </c>
      <c r="E10" s="25" t="s">
        <v>393</v>
      </c>
    </row>
    <row r="11" customFormat="false" ht="15" hidden="false" customHeight="true" outlineLevel="0" collapsed="false">
      <c r="A11" s="7" t="s">
        <v>383</v>
      </c>
      <c r="B11" s="7" t="s">
        <v>236</v>
      </c>
      <c r="C11" s="25" t="s">
        <v>235</v>
      </c>
      <c r="D11" s="23" t="s">
        <v>17</v>
      </c>
      <c r="E11" s="25" t="s">
        <v>394</v>
      </c>
    </row>
    <row r="12" customFormat="false" ht="15" hidden="false" customHeight="true" outlineLevel="0" collapsed="false">
      <c r="A12" s="7" t="s">
        <v>395</v>
      </c>
      <c r="B12" s="7" t="s">
        <v>396</v>
      </c>
      <c r="C12" s="25" t="s">
        <v>397</v>
      </c>
      <c r="D12" s="23" t="s">
        <v>17</v>
      </c>
      <c r="E12" s="25" t="s">
        <v>398</v>
      </c>
    </row>
    <row r="13" customFormat="false" ht="15" hidden="false" customHeight="true" outlineLevel="0" collapsed="false">
      <c r="A13" s="7" t="s">
        <v>395</v>
      </c>
      <c r="B13" s="7" t="s">
        <v>399</v>
      </c>
      <c r="C13" s="25" t="s">
        <v>254</v>
      </c>
      <c r="D13" s="23" t="s">
        <v>5</v>
      </c>
      <c r="E13" s="25" t="s">
        <v>400</v>
      </c>
    </row>
    <row r="14" customFormat="false" ht="15" hidden="false" customHeight="true" outlineLevel="0" collapsed="false">
      <c r="A14" s="7" t="s">
        <v>395</v>
      </c>
      <c r="B14" s="7" t="s">
        <v>401</v>
      </c>
      <c r="C14" s="25" t="s">
        <v>259</v>
      </c>
      <c r="D14" s="23" t="s">
        <v>17</v>
      </c>
      <c r="E14" s="25" t="s">
        <v>402</v>
      </c>
    </row>
    <row r="15" customFormat="false" ht="15" hidden="false" customHeight="true" outlineLevel="0" collapsed="false">
      <c r="A15" s="7" t="s">
        <v>395</v>
      </c>
      <c r="B15" s="7" t="s">
        <v>403</v>
      </c>
      <c r="C15" s="25" t="s">
        <v>404</v>
      </c>
      <c r="D15" s="23" t="s">
        <v>5</v>
      </c>
      <c r="E15" s="25" t="s">
        <v>405</v>
      </c>
    </row>
    <row r="16" customFormat="false" ht="15" hidden="false" customHeight="true" outlineLevel="0" collapsed="false">
      <c r="A16" s="7" t="s">
        <v>406</v>
      </c>
      <c r="B16" s="7" t="s">
        <v>407</v>
      </c>
      <c r="C16" s="25" t="s">
        <v>301</v>
      </c>
      <c r="D16" s="23" t="s">
        <v>5</v>
      </c>
      <c r="E16" s="25" t="s">
        <v>271</v>
      </c>
    </row>
    <row r="17" customFormat="false" ht="15" hidden="false" customHeight="true" outlineLevel="0" collapsed="false">
      <c r="A17" s="7" t="s">
        <v>406</v>
      </c>
      <c r="B17" s="7" t="s">
        <v>408</v>
      </c>
      <c r="C17" s="25" t="s">
        <v>301</v>
      </c>
      <c r="D17" s="23" t="s">
        <v>5</v>
      </c>
      <c r="E17" s="26" t="s">
        <v>409</v>
      </c>
    </row>
    <row r="18" customFormat="false" ht="29.25" hidden="false" customHeight="true" outlineLevel="0" collapsed="false">
      <c r="A18" s="7" t="s">
        <v>406</v>
      </c>
      <c r="B18" s="7" t="s">
        <v>410</v>
      </c>
      <c r="C18" s="25" t="s">
        <v>291</v>
      </c>
      <c r="D18" s="23" t="s">
        <v>7</v>
      </c>
      <c r="E18" s="7" t="s">
        <v>411</v>
      </c>
    </row>
    <row r="19" customFormat="false" ht="15" hidden="false" customHeight="true" outlineLevel="0" collapsed="false">
      <c r="A19" s="7" t="s">
        <v>406</v>
      </c>
      <c r="B19" s="7" t="s">
        <v>412</v>
      </c>
      <c r="C19" s="25" t="s">
        <v>271</v>
      </c>
      <c r="D19" s="23" t="s">
        <v>13</v>
      </c>
      <c r="E19" s="7" t="s">
        <v>413</v>
      </c>
    </row>
  </sheetData>
  <conditionalFormatting sqref="D2:D19">
    <cfRule type="expression" priority="2" aboveAverage="0" equalAverage="0" bottom="0" percent="0" rank="0" text="" dxfId="11">
      <formula>$D2="✅ 완료"</formula>
    </cfRule>
    <cfRule type="expression" priority="3" aboveAverage="0" equalAverage="0" bottom="0" percent="0" rank="0" text="" dxfId="12">
      <formula>$D2="🟡 보완중"</formula>
    </cfRule>
    <cfRule type="expression" priority="4" aboveAverage="0" equalAverage="0" bottom="0" percent="0" rank="0" text="" dxfId="13">
      <formula>$D2="🟠 추가정립필요"</formula>
    </cfRule>
    <cfRule type="expression" priority="5" aboveAverage="0" equalAverage="0" bottom="0" percent="0" rank="0" text="" dxfId="14">
      <formula>$D2="🔴 복구/긴급필요"</formula>
    </cfRule>
    <cfRule type="expression" priority="6" aboveAverage="0" equalAverage="0" bottom="0" percent="0" rank="0" text="" dxfId="15">
      <formula>$D2="🔵 구현예정"</formula>
    </cfRule>
    <cfRule type="expression" priority="7" aboveAverage="0" equalAverage="0" bottom="0" percent="0" rank="0" text="" dxfId="16">
      <formula>$D2="🟢 강점"</formula>
    </cfRule>
    <cfRule type="expression" priority="8" aboveAverage="0" equalAverage="0" bottom="0" percent="0" rank="0" text="" dxfId="17">
      <formula>$D2="🧪 구현·시험전"</formula>
    </cfRule>
    <cfRule type="expression" priority="9" aboveAverage="0" equalAverage="0" bottom="0" percent="0" rank="0" text="" dxfId="18">
      <formula>$D2="⚪ 하지 않기로 함"</formula>
    </cfRule>
  </conditionalFormatting>
  <dataValidations count="1">
    <dataValidation allowBlank="true" errorStyle="stop" operator="between" showDropDown="false" showErrorMessage="false" showInputMessage="false" sqref="D2:D19" type="list">
      <formula1>"✅ 완료,🟡 보완중,🟠 추가정립필요,🔴 복구/긴급필요,🔵 구현예정,🟢 강점,🧪 구현·시험전,⚪ 하지 않기로 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2026-10-08T07:13:48Z</dcterms:created>
  <dc:creator>openpyxl</dc:creator>
  <dc:description/>
  <dc:language>en-US</dc:language>
  <cp:lastModifiedBy/>
  <dcterms:modified xsi:type="dcterms:W3CDTF">2026-10-16T04:08:30Z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